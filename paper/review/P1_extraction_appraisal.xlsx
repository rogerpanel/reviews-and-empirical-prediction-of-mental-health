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tudy_Characteristics" sheetId="2" state="visible" r:id="rId4"/>
    <sheet name="PROBAST" sheetId="3" state="visible" r:id="rId5"/>
    <sheet name="TRIPOD_AI" sheetId="4" state="visible" r:id="rId6"/>
    <sheet name="Reporting_Outcomes" sheetId="5" state="visible" r:id="rId7"/>
    <sheet name="Reconciliation" sheetId="6" state="visible" r:id="rId8"/>
    <sheet name="Codebook" sheetId="7" state="visible" r:id="rId9"/>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N1" authorId="0">
      <text>
        <r>
          <rPr>
            <sz val="10"/>
            <rFont val="Arial"/>
            <family val="2"/>
          </rPr>
          <t xml:space="preserve">Computed: N events / N candidate predictors. Do not overwrite.</t>
        </r>
      </text>
    </comment>
    <comment ref="S1" authorId="0">
      <text>
        <r>
          <rPr>
            <sz val="10"/>
            <rFont val="Arial"/>
            <family val="2"/>
          </rPr>
          <t xml:space="preserve">Flag Probable where reported accuracy is near-perfect (&gt;=99%) with no external validation, or where resampling preceded the train/test split, or where the outcome is derivable from a predictor.</t>
        </r>
      </text>
    </comment>
  </commentList>
</comments>
</file>

<file path=xl/sharedStrings.xml><?xml version="1.0" encoding="utf-8"?>
<sst xmlns="http://schemas.openxmlformats.org/spreadsheetml/2006/main" count="330" uniqueCount="298">
  <si>
    <t xml:space="preserve">TITLE</t>
  </si>
  <si>
    <t xml:space="preserve">Paper 1 — Data extraction and critical appraisal workbook</t>
  </si>
  <si>
    <t xml:space="preserve">Methodological quality and reporting completeness of machine learning models for mental health prediction: a systematic review and PROBAST appraisal</t>
  </si>
  <si>
    <t xml:space="preserve">HOW TO USE</t>
  </si>
  <si>
    <t xml:space="preserve">Yellow cells</t>
  </si>
  <si>
    <t xml:space="preserve">Fill these in. Every other cell is a label or a formula — do not overwrite.</t>
  </si>
  <si>
    <t xml:space="preserve">One row per study</t>
  </si>
  <si>
    <t xml:space="preserve">Use the same Study ID on every sheet so the sheets line up.</t>
  </si>
  <si>
    <t xml:space="preserve">Two reviewers</t>
  </si>
  <si>
    <t xml:space="preserve">Each reviewer keeps their own copy of this file. Reconcile on the Reconciliation sheet, which computes Cohen's kappa.</t>
  </si>
  <si>
    <t xml:space="preserve">Dropdowns</t>
  </si>
  <si>
    <t xml:space="preserve">Most judgement cells have a dropdown. Use it rather than free text, or the summary formulas will not count the entry.</t>
  </si>
  <si>
    <t xml:space="preserve">SHEETS</t>
  </si>
  <si>
    <t xml:space="preserve">2. Study_Characteristics</t>
  </si>
  <si>
    <t xml:space="preserve">Descriptive extraction — one row per included study.</t>
  </si>
  <si>
    <t xml:space="preserve">3. PROBAST</t>
  </si>
  <si>
    <t xml:space="preserve">Risk of bias. 20 signalling questions across 4 domains, plus applicability for domains 1–3.</t>
  </si>
  <si>
    <t xml:space="preserve">4. TRIPOD_AI</t>
  </si>
  <si>
    <t xml:space="preserve">Reporting completeness, item by item.</t>
  </si>
  <si>
    <t xml:space="preserve">5. Reporting_Outcomes</t>
  </si>
  <si>
    <t xml:space="preserve">The review's primary quantitative outcomes — external validation, calibration, AUC, code availability, EPV.</t>
  </si>
  <si>
    <t xml:space="preserve">6. Reconciliation</t>
  </si>
  <si>
    <t xml:space="preserve">Dual-reviewer agreement and Cohen's kappa.</t>
  </si>
  <si>
    <t xml:space="preserve">7. Codebook</t>
  </si>
  <si>
    <t xml:space="preserve">Definitions for every coded field. Read before extracting.</t>
  </si>
  <si>
    <t xml:space="preserve">BEFORE YOU START</t>
  </si>
  <si>
    <t xml:space="preserve">Pilot first</t>
  </si>
  <si>
    <t xml:space="preserve">Both reviewers independently extract the SAME 5 studies, then compare. Resolve disagreements and clarify the codebook before doing the rest. This single step prevents most rework.</t>
  </si>
  <si>
    <t xml:space="preserve">Verify the tools</t>
  </si>
  <si>
    <t xml:space="preserve">PROBAST signalling questions below follow Wolff et al., Ann Intern Med 2019. TRIPOD+AI items follow Collins et al., BMJ 2024. CHECK BOTH against the published statements before the pilot — item numbering is reproduced here in good faith but must be confirmed against the source.</t>
  </si>
  <si>
    <t xml:space="preserve">Blind screening</t>
  </si>
  <si>
    <t xml:space="preserve">Use Rayyan (rayyan.ai) for title/abstract screening with blinding on. Export the included set, then extract here.</t>
  </si>
  <si>
    <t xml:space="preserve">LEGEND</t>
  </si>
  <si>
    <t xml:space="preserve">Yellow = you fill in.  White = label or formula.</t>
  </si>
  <si>
    <t xml:space="preserve">example: a cell for you to complete</t>
  </si>
  <si>
    <t xml:space="preserve">Study ID</t>
  </si>
  <si>
    <t xml:space="preserve">First author</t>
  </si>
  <si>
    <t xml:space="preserve">Year</t>
  </si>
  <si>
    <t xml:space="preserve">Country</t>
  </si>
  <si>
    <t xml:space="preserve">Journal / venue</t>
  </si>
  <si>
    <t xml:space="preserve">DOI</t>
  </si>
  <si>
    <t xml:space="preserve">Population</t>
  </si>
  <si>
    <t xml:space="preserve">Setting</t>
  </si>
  <si>
    <t xml:space="preserve">Sample size (N)</t>
  </si>
  <si>
    <t xml:space="preserve">Age range / mean</t>
  </si>
  <si>
    <t xml:space="preserve">% female</t>
  </si>
  <si>
    <t xml:space="preserve">Target disorder</t>
  </si>
  <si>
    <t xml:space="preserve">Outcome definition source</t>
  </si>
  <si>
    <t xml:space="preserve">Outcome prevalence (%)</t>
  </si>
  <si>
    <t xml:space="preserve">Data modality</t>
  </si>
  <si>
    <t xml:space="preserve">N candidate predictors</t>
  </si>
  <si>
    <t xml:space="preserve">ML model(s)</t>
  </si>
  <si>
    <t xml:space="preserve">Best model</t>
  </si>
  <si>
    <t xml:space="preserve">Study type</t>
  </si>
  <si>
    <t xml:space="preserve">Notes</t>
  </si>
  <si>
    <t xml:space="preserve">EX01</t>
  </si>
  <si>
    <t xml:space="preserve">Example</t>
  </si>
  <si>
    <t xml:space="preserve">UK</t>
  </si>
  <si>
    <t xml:space="preserve">J Med Internet Res</t>
  </si>
  <si>
    <t xml:space="preserve">10.xxxx/xxxxx</t>
  </si>
  <si>
    <t xml:space="preserve">University students</t>
  </si>
  <si>
    <t xml:space="preserve">Educational</t>
  </si>
  <si>
    <t xml:space="preserve">18-25 (M=20.4)</t>
  </si>
  <si>
    <t xml:space="preserve">Depression (PHQ-9 &gt;=10)</t>
  </si>
  <si>
    <t xml:space="preserve">PHQ-9 self-report</t>
  </si>
  <si>
    <t xml:space="preserve">Survey/questionnaire</t>
  </si>
  <si>
    <t xml:space="preserve">RF, SVM, XGBoost</t>
  </si>
  <si>
    <t xml:space="preserve">XGBoost</t>
  </si>
  <si>
    <t xml:space="preserve">Development + internal validation</t>
  </si>
  <si>
    <t xml:space="preserve">DELETE THIS EXAMPLE ROW</t>
  </si>
  <si>
    <t xml:space="preserve">Item</t>
  </si>
  <si>
    <t xml:space="preserve">Signalling question</t>
  </si>
  <si>
    <t xml:space="preserve">Response</t>
  </si>
  <si>
    <t xml:space="preserve">Rationale / quote / page</t>
  </si>
  <si>
    <t xml:space="preserve">&lt;-- one block per study; copy this whole block down for each study</t>
  </si>
  <si>
    <t xml:space="preserve">1. PARTICIPANTS</t>
  </si>
  <si>
    <t xml:space="preserve">1.1</t>
  </si>
  <si>
    <t xml:space="preserve">Were appropriate data sources used (e.g. cohort, RCT, or nested case-control)?</t>
  </si>
  <si>
    <t xml:space="preserve">1.2</t>
  </si>
  <si>
    <t xml:space="preserve">Were all inclusions and exclusions of participants appropriate?</t>
  </si>
  <si>
    <t xml:space="preserve">&gt;&gt; RISK OF BIAS judgement for PARTICIPANTS</t>
  </si>
  <si>
    <t xml:space="preserve">Any "N" or "PN" normally means High risk of bias.</t>
  </si>
  <si>
    <t xml:space="preserve">&gt;&gt; APPLICABILITY judgement for PARTICIPANTS</t>
  </si>
  <si>
    <t xml:space="preserve">2. PREDICTORS</t>
  </si>
  <si>
    <t xml:space="preserve">2.1</t>
  </si>
  <si>
    <t xml:space="preserve">Were predictors defined and assessed in a similar way for all participants?</t>
  </si>
  <si>
    <t xml:space="preserve">2.2</t>
  </si>
  <si>
    <t xml:space="preserve">Were predictor assessments made without knowledge of outcome data?</t>
  </si>
  <si>
    <t xml:space="preserve">2.3</t>
  </si>
  <si>
    <t xml:space="preserve">Are all predictors available at the time the model is intended to be used?</t>
  </si>
  <si>
    <t xml:space="preserve">&gt;&gt; RISK OF BIAS judgement for PREDICTORS</t>
  </si>
  <si>
    <t xml:space="preserve">&gt;&gt; APPLICABILITY judgement for PREDICTORS</t>
  </si>
  <si>
    <t xml:space="preserve">3. OUTCOME</t>
  </si>
  <si>
    <t xml:space="preserve">3.1</t>
  </si>
  <si>
    <t xml:space="preserve">Was the outcome determined appropriately?</t>
  </si>
  <si>
    <t xml:space="preserve">3.2</t>
  </si>
  <si>
    <t xml:space="preserve">Was a pre-specified or standard outcome definition used?</t>
  </si>
  <si>
    <t xml:space="preserve">3.3</t>
  </si>
  <si>
    <t xml:space="preserve">Were predictors excluded from the outcome definition?</t>
  </si>
  <si>
    <t xml:space="preserve">3.4</t>
  </si>
  <si>
    <t xml:space="preserve">Was the outcome defined and determined in a similar way for all participants?</t>
  </si>
  <si>
    <t xml:space="preserve">3.5</t>
  </si>
  <si>
    <t xml:space="preserve">Was the outcome determined without knowledge of predictor information?</t>
  </si>
  <si>
    <t xml:space="preserve">3.6</t>
  </si>
  <si>
    <t xml:space="preserve">Was the time interval between predictor assessment and outcome determination appropriate?</t>
  </si>
  <si>
    <t xml:space="preserve">&gt;&gt; RISK OF BIAS judgement for OUTCOME</t>
  </si>
  <si>
    <t xml:space="preserve">&gt;&gt; APPLICABILITY judgement for OUTCOME</t>
  </si>
  <si>
    <t xml:space="preserve">4. ANALYSIS</t>
  </si>
  <si>
    <t xml:space="preserve">4.1</t>
  </si>
  <si>
    <t xml:space="preserve">Were there a reasonable number of participants with the outcome? (EPV: &gt;=20 for statistical models, &gt;=200 for ML — Moons et al. 2025)</t>
  </si>
  <si>
    <t xml:space="preserve">4.2</t>
  </si>
  <si>
    <t xml:space="preserve">Were continuous and categorical predictors handled appropriately?</t>
  </si>
  <si>
    <t xml:space="preserve">4.3</t>
  </si>
  <si>
    <t xml:space="preserve">Were all enrolled participants included in the analysis?</t>
  </si>
  <si>
    <t xml:space="preserve">4.4</t>
  </si>
  <si>
    <t xml:space="preserve">Were participants with missing data handled appropriately?</t>
  </si>
  <si>
    <t xml:space="preserve">4.5</t>
  </si>
  <si>
    <t xml:space="preserve">Was selection of predictors based on univariable analysis avoided?</t>
  </si>
  <si>
    <t xml:space="preserve">4.6</t>
  </si>
  <si>
    <t xml:space="preserve">Were complexities in the data accounted for appropriately (censoring, competing risks, sampling)?</t>
  </si>
  <si>
    <t xml:space="preserve">4.7</t>
  </si>
  <si>
    <t xml:space="preserve">Were relevant model performance measures evaluated appropriately (BOTH calibration AND discrimination)?</t>
  </si>
  <si>
    <t xml:space="preserve">4.8</t>
  </si>
  <si>
    <t xml:space="preserve">Were model overfitting and optimism in model performance accounted for?</t>
  </si>
  <si>
    <t xml:space="preserve">4.9</t>
  </si>
  <si>
    <t xml:space="preserve">Do predictors and their assigned weights correspond to the results from the reported multivariable analysis?</t>
  </si>
  <si>
    <t xml:space="preserve">&gt;&gt; RISK OF BIAS judgement for ANALYSIS</t>
  </si>
  <si>
    <t xml:space="preserve">&gt;&gt;&gt; OVERALL RISK OF BIAS</t>
  </si>
  <si>
    <t xml:space="preserve">High if ANY domain is High. Low only if ALL domains are Low.</t>
  </si>
  <si>
    <t xml:space="preserve">&gt;&gt;&gt; OVERALL APPLICABILITY</t>
  </si>
  <si>
    <t xml:space="preserve">RESPONSE KEY</t>
  </si>
  <si>
    <t xml:space="preserve">Y = Yes | PY = Probably yes | PN = Probably no | N = No | NI = No information | NA = Not applicable</t>
  </si>
  <si>
    <t xml:space="preserve">Items 4.5, 4.6 and 4.9 are often NA for external-validation-only studies.</t>
  </si>
  <si>
    <t xml:space="preserve">Source: Wolff RF et al. PROBAST. Ann Intern Med 2019;170:51-58. Verify wording against the published tool before the pilot.</t>
  </si>
  <si>
    <t xml:space="preserve">TRIPOD+AI item</t>
  </si>
  <si>
    <t xml:space="preserve">Reported?</t>
  </si>
  <si>
    <t xml:space="preserve">Location / note</t>
  </si>
  <si>
    <t xml:space="preserve">TITLE AND ABSTRACT</t>
  </si>
  <si>
    <t xml:space="preserve">1</t>
  </si>
  <si>
    <t xml:space="preserve">Title identifies the study as developing/validating a prediction model, names the target population, outcome, and that ML methods were used</t>
  </si>
  <si>
    <t xml:space="preserve">2</t>
  </si>
  <si>
    <t xml:space="preserve">Abstract reports objective, data source, population, outcome, predictors, sample size, model type, performance, and conclusions</t>
  </si>
  <si>
    <t xml:space="preserve">INTRODUCTION</t>
  </si>
  <si>
    <t xml:space="preserve">3a</t>
  </si>
  <si>
    <t xml:space="preserve">Background: rationale, existing models, and why a new one is needed</t>
  </si>
  <si>
    <t xml:space="preserve">3b</t>
  </si>
  <si>
    <t xml:space="preserve">Objectives: specific study objectives, including development or validation</t>
  </si>
  <si>
    <t xml:space="preserve">METHODS — DATA</t>
  </si>
  <si>
    <t xml:space="preserve">4a</t>
  </si>
  <si>
    <t xml:space="preserve">Data source described (registry, cohort, trial, routine care)</t>
  </si>
  <si>
    <t xml:space="preserve">4b</t>
  </si>
  <si>
    <t xml:space="preserve">Study dates given, including start and end of accrual and follow-up</t>
  </si>
  <si>
    <t xml:space="preserve">5a</t>
  </si>
  <si>
    <t xml:space="preserve">Setting, eligibility criteria, and recruitment described</t>
  </si>
  <si>
    <t xml:space="preserve">5b</t>
  </si>
  <si>
    <t xml:space="preserve">Details of treatments received, if relevant</t>
  </si>
  <si>
    <t xml:space="preserve">6</t>
  </si>
  <si>
    <t xml:space="preserve">Outcome defined and described, including how and when assessed</t>
  </si>
  <si>
    <t xml:space="preserve">7</t>
  </si>
  <si>
    <t xml:space="preserve">Predictors defined, including how and when measured</t>
  </si>
  <si>
    <t xml:space="preserve">8</t>
  </si>
  <si>
    <t xml:space="preserve">Sample size justified, with events-per-variable stated</t>
  </si>
  <si>
    <t xml:space="preserve">9</t>
  </si>
  <si>
    <t xml:space="preserve">Missing data described and handling method specified</t>
  </si>
  <si>
    <t xml:space="preserve">METHODS — ANALYSIS</t>
  </si>
  <si>
    <t xml:space="preserve">10a</t>
  </si>
  <si>
    <t xml:space="preserve">Data pre-processing described (scaling, encoding, feature engineering)</t>
  </si>
  <si>
    <t xml:space="preserve">10b</t>
  </si>
  <si>
    <t xml:space="preserve">Model type(s) and rationale for their selection</t>
  </si>
  <si>
    <t xml:space="preserve">10c</t>
  </si>
  <si>
    <t xml:space="preserve">Hyperparameter tuning procedure and search space reported</t>
  </si>
  <si>
    <t xml:space="preserve">10d</t>
  </si>
  <si>
    <t xml:space="preserve">Method for internal validation described (CV scheme, repeats, seeds)</t>
  </si>
  <si>
    <t xml:space="preserve">10e</t>
  </si>
  <si>
    <t xml:space="preserve">Method for external validation described, if performed</t>
  </si>
  <si>
    <t xml:space="preserve">11</t>
  </si>
  <si>
    <t xml:space="preserve">Class imbalance handling described, and whether resampling was applied INSIDE cross-validation folds only</t>
  </si>
  <si>
    <t xml:space="preserve">12</t>
  </si>
  <si>
    <t xml:space="preserve">Performance measures pre-specified, including BOTH discrimination and calibration</t>
  </si>
  <si>
    <t xml:space="preserve">13</t>
  </si>
  <si>
    <t xml:space="preserve">Model updating or recalibration procedures, if any</t>
  </si>
  <si>
    <t xml:space="preserve">14</t>
  </si>
  <si>
    <t xml:space="preserve">Fairness: subgroup performance assessed across relevant demographic groups</t>
  </si>
  <si>
    <t xml:space="preserve">15</t>
  </si>
  <si>
    <t xml:space="preserve">Interpretability/explainability methods described</t>
  </si>
  <si>
    <t xml:space="preserve">OPEN SCIENCE</t>
  </si>
  <si>
    <t xml:space="preserve">16</t>
  </si>
  <si>
    <t xml:space="preserve">Funding and role of funder stated</t>
  </si>
  <si>
    <t xml:space="preserve">17</t>
  </si>
  <si>
    <t xml:space="preserve">Conflicts of interest declared</t>
  </si>
  <si>
    <t xml:space="preserve">18</t>
  </si>
  <si>
    <t xml:space="preserve">Protocol or registration reference given</t>
  </si>
  <si>
    <t xml:space="preserve">19</t>
  </si>
  <si>
    <t xml:space="preserve">Data availability statement</t>
  </si>
  <si>
    <t xml:space="preserve">20</t>
  </si>
  <si>
    <t xml:space="preserve">Code availability statement</t>
  </si>
  <si>
    <t xml:space="preserve">RESULTS</t>
  </si>
  <si>
    <t xml:space="preserve">21</t>
  </si>
  <si>
    <t xml:space="preserve">Participant flow reported, with a diagram where appropriate</t>
  </si>
  <si>
    <t xml:space="preserve">22</t>
  </si>
  <si>
    <t xml:space="preserve">Participant characteristics reported, including outcome prevalence</t>
  </si>
  <si>
    <t xml:space="preserve">23</t>
  </si>
  <si>
    <t xml:space="preserve">Full model specification given, sufficient for others to reproduce predictions</t>
  </si>
  <si>
    <t xml:space="preserve">24</t>
  </si>
  <si>
    <t xml:space="preserve">Performance results reported with uncertainty intervals</t>
  </si>
  <si>
    <t xml:space="preserve">25</t>
  </si>
  <si>
    <t xml:space="preserve">Performance reported by subgroup / fairness results</t>
  </si>
  <si>
    <t xml:space="preserve">DISCUSSION</t>
  </si>
  <si>
    <t xml:space="preserve">26</t>
  </si>
  <si>
    <t xml:space="preserve">Limitations discussed, including sources of bias and generalisability</t>
  </si>
  <si>
    <t xml:space="preserve">27</t>
  </si>
  <si>
    <t xml:space="preserve">Interpretation, intended use, and implications for practice</t>
  </si>
  <si>
    <t xml:space="preserve">SCORING</t>
  </si>
  <si>
    <t xml:space="preserve">Yes = fully reported | Partial = mentioned but incomplete | No = not reported | NA = not applicable to this study design</t>
  </si>
  <si>
    <t xml:space="preserve">Adherence per study = Yes count / (total items - NA count). Report as a percentage, and report per-item adherence across studies.</t>
  </si>
  <si>
    <t xml:space="preserve">Source: Collins GS et al. TRIPOD+AI statement. BMJ 2024;385:e078378. VERIFY item numbering against the published checklist before the pilot — the wording here is a working paraphrase, not a verbatim reproduction.</t>
  </si>
  <si>
    <t xml:space="preserve">External validation?</t>
  </si>
  <si>
    <t xml:space="preserve">Type of external validation</t>
  </si>
  <si>
    <t xml:space="preserve">Calibration reported?</t>
  </si>
  <si>
    <t xml:space="preserve">Calibration method</t>
  </si>
  <si>
    <t xml:space="preserve">AUC reported?</t>
  </si>
  <si>
    <t xml:space="preserve">Accuracy only?</t>
  </si>
  <si>
    <t xml:space="preserve">Class prevalence reported?</t>
  </si>
  <si>
    <t xml:space="preserve">Imbalance handled?</t>
  </si>
  <si>
    <t xml:space="preserve">Resampling inside CV folds?</t>
  </si>
  <si>
    <t xml:space="preserve">N events</t>
  </si>
  <si>
    <t xml:space="preserve">EPV</t>
  </si>
  <si>
    <t xml:space="preserve">EPV &gt;= 200?</t>
  </si>
  <si>
    <t xml:space="preserve">Code available?</t>
  </si>
  <si>
    <t xml:space="preserve">Data available?</t>
  </si>
  <si>
    <t xml:space="preserve">Reported accuracy (%)</t>
  </si>
  <si>
    <t xml:space="preserve">Leakage concern?</t>
  </si>
  <si>
    <t xml:space="preserve">Leakage rationale</t>
  </si>
  <si>
    <t xml:space="preserve">No</t>
  </si>
  <si>
    <t xml:space="preserve">None</t>
  </si>
  <si>
    <t xml:space="preserve">Yes</t>
  </si>
  <si>
    <t xml:space="preserve">Unclear</t>
  </si>
  <si>
    <t xml:space="preserve">SUMMARY — the review's primary outcomes</t>
  </si>
  <si>
    <t xml:space="preserve">Studies extracted</t>
  </si>
  <si>
    <t xml:space="preserve">With external validation</t>
  </si>
  <si>
    <t xml:space="preserve">% with external validation</t>
  </si>
  <si>
    <t xml:space="preserve">Reporting calibration</t>
  </si>
  <si>
    <t xml:space="preserve">% reporting calibration</t>
  </si>
  <si>
    <t xml:space="preserve">Reporting AUC</t>
  </si>
  <si>
    <t xml:space="preserve">Accuracy only</t>
  </si>
  <si>
    <t xml:space="preserve">Reporting class prevalence</t>
  </si>
  <si>
    <t xml:space="preserve">Code available</t>
  </si>
  <si>
    <t xml:space="preserve">Data available</t>
  </si>
  <si>
    <t xml:space="preserve">Meeting EPV &gt;= 200</t>
  </si>
  <si>
    <t xml:space="preserve">Leakage: probable</t>
  </si>
  <si>
    <t xml:space="preserve">Leakage: possible</t>
  </si>
  <si>
    <t xml:space="preserve">Item appraised</t>
  </si>
  <si>
    <t xml:space="preserve">Reviewer 1</t>
  </si>
  <si>
    <t xml:space="preserve">Reviewer 2</t>
  </si>
  <si>
    <t xml:space="preserve">Agree?</t>
  </si>
  <si>
    <t xml:space="preserve">Resolution / third reviewer</t>
  </si>
  <si>
    <t xml:space="preserve">COHEN'S KAPPA — screening and appraisal agreement</t>
  </si>
  <si>
    <t xml:space="preserve">Report this in the Methods. PRISMA 2020 expects it.</t>
  </si>
  <si>
    <t xml:space="preserve">Total judgements compared</t>
  </si>
  <si>
    <t xml:space="preserve">Observed agreements</t>
  </si>
  <si>
    <t xml:space="preserve">Observed agreement Po</t>
  </si>
  <si>
    <t xml:space="preserve">--- Expected agreement (fill the 2x2 or use the counts below) ---</t>
  </si>
  <si>
    <t xml:space="preserve">R1 "Low" count</t>
  </si>
  <si>
    <t xml:space="preserve">R2 "Low" count</t>
  </si>
  <si>
    <t xml:space="preserve">R1 "High" count</t>
  </si>
  <si>
    <t xml:space="preserve">R2 "High" count</t>
  </si>
  <si>
    <t xml:space="preserve">Expected agreement Pe</t>
  </si>
  <si>
    <t xml:space="preserve">COHEN'S KAPPA</t>
  </si>
  <si>
    <t xml:space="preserve">Interpretation</t>
  </si>
  <si>
    <t xml:space="preserve">NOTE: the kappa above assumes a binary Low/High coding. For the 3-level Low/High/Unclear coding, either collapse Unclear into High before computing, or use weighted kappa in R (irr::kappa2) and report that instead.</t>
  </si>
  <si>
    <t xml:space="preserve">Field</t>
  </si>
  <si>
    <t xml:space="preserve">Definition and coding rule</t>
  </si>
  <si>
    <t xml:space="preserve">Format: first author surname + year, e.g. SMITH2023. Add a, b, c for multiple papers by the same author in the same year. Use the SAME ID on every sheet.</t>
  </si>
  <si>
    <t xml:space="preserve">Verbatim description from the paper. Do not harmonise at extraction; categorise later during analysis.</t>
  </si>
  <si>
    <t xml:space="preserve">The predicted condition AND its operational threshold, e.g. "Depression (PHQ-9 &gt;= 10)". The threshold matters as much as the label.</t>
  </si>
  <si>
    <t xml:space="preserve">Outcome prevalence</t>
  </si>
  <si>
    <t xml:space="preserve">Percentage with the outcome in the analysis sample. If not reported, code as blank and mark "Class prevalence reported? = No". Do not compute it yourself from other numbers.</t>
  </si>
  <si>
    <t xml:space="preserve">Primary input type. Use "Mixed" only where two or more modalities are genuinely combined in one model.</t>
  </si>
  <si>
    <t xml:space="preserve">Number of variables ENTERING model building, before any selection. Not the number in the final model. If only the final count is reported, note that in Notes and use it, flagged.</t>
  </si>
  <si>
    <t xml:space="preserve">Development only / Development + internal / Development + external / External only. Internal validation includes cross-validation and bootstrapping. External means a separate dataset not used in any way during development.</t>
  </si>
  <si>
    <t xml:space="preserve">External validation</t>
  </si>
  <si>
    <t xml:space="preserve">Yes only if evaluated on data separated by time, geography, or an independent cohort. A random hold-out split from the same dataset is INTERNAL validation, not external. This distinction is the single most common extraction error — check it carefully.</t>
  </si>
  <si>
    <t xml:space="preserve">Calibration reported</t>
  </si>
  <si>
    <t xml:space="preserve">Yes if ANY of: calibration plot, calibration slope/intercept, Hosmer-Lemeshow, Brier score, expected/observed ratio. Accuracy and AUC are NOT calibration.</t>
  </si>
  <si>
    <t xml:space="preserve">Yes if accuracy is the ONLY discrimination metric reported — no AUC, no sensitivity/specificity pair, no F1.</t>
  </si>
  <si>
    <t xml:space="preserve">Resampling inside CV folds</t>
  </si>
  <si>
    <t xml:space="preserve">Yes only if the paper explicitly states SMOTE or other resampling was applied within training folds. If it merely says resampling was used, code Unclear. Silence is Unclear, not No.</t>
  </si>
  <si>
    <t xml:space="preserve">Number of participants with the outcome in the development sample. For multi-class outcomes use the smallest class.</t>
  </si>
  <si>
    <t xml:space="preserve">Computed automatically as N events / N candidate predictors. Current PROBAST guidance expects &gt;= 20 for statistical models and &gt;= 200 for ML models (Moons et al. 2025).</t>
  </si>
  <si>
    <t xml:space="preserve">Yes only if a working repository link or supplementary code file is given. "Available on reasonable request" = No.</t>
  </si>
  <si>
    <t xml:space="preserve">Leakage concern</t>
  </si>
  <si>
    <t xml:space="preserve">Probable where reported accuracy is &gt;= 99% without external validation, OR resampling preceded the split, OR the outcome is derivable from a predictor. Possible where one of those is suspected but not confirmable. Always record the rationale — these become the case studies in the Discussion.</t>
  </si>
  <si>
    <t xml:space="preserve">PROBAST responses</t>
  </si>
  <si>
    <t xml:space="preserve">Y / PY / PN / N / NI / NA. Use NI (no information) rather than N when the paper is simply silent — the distinction matters and is frequently collapsed in error.</t>
  </si>
  <si>
    <t xml:space="preserve">PROBAST domain judgement</t>
  </si>
  <si>
    <t xml:space="preserve">High if any signalling question in the domain is N or PN. Unclear if any is NI and none is N/PN. Low only if all are Y/PY.</t>
  </si>
  <si>
    <t xml:space="preserve">TRIPOD+AI response</t>
  </si>
  <si>
    <t xml:space="preserve">Yes = fully reported. Partial = mentioned but incomplete. No = absent. NA = not applicable to this design.</t>
  </si>
</sst>
</file>

<file path=xl/styles.xml><?xml version="1.0" encoding="utf-8"?>
<styleSheet xmlns="http://schemas.openxmlformats.org/spreadsheetml/2006/main">
  <numFmts count="3">
    <numFmt numFmtId="164" formatCode="General"/>
    <numFmt numFmtId="165" formatCode="0.0%"/>
    <numFmt numFmtId="166" formatCode="0.000"/>
  </numFmts>
  <fonts count="11">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b val="true"/>
      <sz val="12"/>
      <name val="Arial"/>
      <family val="0"/>
      <charset val="1"/>
    </font>
    <font>
      <sz val="10"/>
      <name val="Arial"/>
      <family val="0"/>
      <charset val="1"/>
    </font>
    <font>
      <sz val="9"/>
      <name val="Arial"/>
      <family val="0"/>
      <charset val="1"/>
    </font>
    <font>
      <b val="true"/>
      <sz val="10"/>
      <color rgb="FFFFFFFF"/>
      <name val="Arial"/>
      <family val="0"/>
      <charset val="1"/>
    </font>
    <font>
      <b val="true"/>
      <sz val="11"/>
      <name val="Arial"/>
      <family val="0"/>
      <charset val="1"/>
    </font>
    <font>
      <sz val="10"/>
      <name val="Arial"/>
      <family val="2"/>
    </font>
  </fonts>
  <fills count="5">
    <fill>
      <patternFill patternType="none"/>
    </fill>
    <fill>
      <patternFill patternType="gray125"/>
    </fill>
    <fill>
      <patternFill patternType="solid">
        <fgColor rgb="FFD9E2EC"/>
        <bgColor rgb="FFCCFFFF"/>
      </patternFill>
    </fill>
    <fill>
      <patternFill patternType="solid">
        <fgColor rgb="FFFFFFCC"/>
        <bgColor rgb="FFFFFFFF"/>
      </patternFill>
    </fill>
    <fill>
      <patternFill patternType="solid">
        <fgColor rgb="FF2F4858"/>
        <bgColor rgb="FF333399"/>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CCFFFF"/>
      <rgbColor rgb="FF660066"/>
      <rgbColor rgb="FFFF8080"/>
      <rgbColor rgb="FF0066CC"/>
      <rgbColor rgb="FFD9E2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48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5.75" hidden="false" customHeight="true" outlineLevel="0" collapsed="false">
      <c r="A1" s="1" t="s">
        <v>0</v>
      </c>
      <c r="B1" s="2" t="s">
        <v>1</v>
      </c>
    </row>
    <row r="2" customFormat="false" ht="30" hidden="false" customHeight="true" outlineLevel="0" collapsed="false">
      <c r="A2" s="1"/>
      <c r="B2" s="3" t="s">
        <v>2</v>
      </c>
    </row>
    <row r="3" customFormat="false" ht="15.75" hidden="false" customHeight="true" outlineLevel="0" collapsed="false">
      <c r="A3" s="1"/>
      <c r="B3" s="3"/>
    </row>
    <row r="4" customFormat="false" ht="15.75" hidden="false" customHeight="true" outlineLevel="0" collapsed="false">
      <c r="A4" s="4" t="s">
        <v>3</v>
      </c>
      <c r="B4" s="3"/>
    </row>
    <row r="5" customFormat="false" ht="15.75" hidden="false" customHeight="true" outlineLevel="0" collapsed="false">
      <c r="A5" s="1" t="s">
        <v>4</v>
      </c>
      <c r="B5" s="3" t="s">
        <v>5</v>
      </c>
    </row>
    <row r="6" customFormat="false" ht="15.75" hidden="false" customHeight="true" outlineLevel="0" collapsed="false">
      <c r="A6" s="1" t="s">
        <v>6</v>
      </c>
      <c r="B6" s="3" t="s">
        <v>7</v>
      </c>
    </row>
    <row r="7" customFormat="false" ht="30" hidden="false" customHeight="true" outlineLevel="0" collapsed="false">
      <c r="A7" s="1" t="s">
        <v>8</v>
      </c>
      <c r="B7" s="3" t="s">
        <v>9</v>
      </c>
    </row>
    <row r="8" customFormat="false" ht="30" hidden="false" customHeight="true" outlineLevel="0" collapsed="false">
      <c r="A8" s="1" t="s">
        <v>10</v>
      </c>
      <c r="B8" s="3" t="s">
        <v>11</v>
      </c>
    </row>
    <row r="9" customFormat="false" ht="15.75" hidden="false" customHeight="true" outlineLevel="0" collapsed="false">
      <c r="A9" s="1"/>
      <c r="B9" s="3"/>
    </row>
    <row r="10" customFormat="false" ht="15.75" hidden="false" customHeight="true" outlineLevel="0" collapsed="false">
      <c r="A10" s="4" t="s">
        <v>12</v>
      </c>
      <c r="B10" s="3"/>
    </row>
    <row r="11" customFormat="false" ht="15.75" hidden="false" customHeight="true" outlineLevel="0" collapsed="false">
      <c r="A11" s="1" t="s">
        <v>13</v>
      </c>
      <c r="B11" s="3" t="s">
        <v>14</v>
      </c>
    </row>
    <row r="12" customFormat="false" ht="30" hidden="false" customHeight="true" outlineLevel="0" collapsed="false">
      <c r="A12" s="1" t="s">
        <v>15</v>
      </c>
      <c r="B12" s="3" t="s">
        <v>16</v>
      </c>
    </row>
    <row r="13" customFormat="false" ht="15.75" hidden="false" customHeight="true" outlineLevel="0" collapsed="false">
      <c r="A13" s="1" t="s">
        <v>17</v>
      </c>
      <c r="B13" s="3" t="s">
        <v>18</v>
      </c>
    </row>
    <row r="14" customFormat="false" ht="30" hidden="false" customHeight="true" outlineLevel="0" collapsed="false">
      <c r="A14" s="1" t="s">
        <v>19</v>
      </c>
      <c r="B14" s="3" t="s">
        <v>20</v>
      </c>
    </row>
    <row r="15" customFormat="false" ht="15.75" hidden="false" customHeight="true" outlineLevel="0" collapsed="false">
      <c r="A15" s="1" t="s">
        <v>21</v>
      </c>
      <c r="B15" s="3" t="s">
        <v>22</v>
      </c>
    </row>
    <row r="16" customFormat="false" ht="15.75" hidden="false" customHeight="true" outlineLevel="0" collapsed="false">
      <c r="A16" s="1" t="s">
        <v>23</v>
      </c>
      <c r="B16" s="3" t="s">
        <v>24</v>
      </c>
    </row>
    <row r="17" customFormat="false" ht="15.75" hidden="false" customHeight="true" outlineLevel="0" collapsed="false">
      <c r="A17" s="1"/>
      <c r="B17" s="3"/>
    </row>
    <row r="18" customFormat="false" ht="15.75" hidden="false" customHeight="true" outlineLevel="0" collapsed="false">
      <c r="A18" s="4" t="s">
        <v>25</v>
      </c>
      <c r="B18" s="3"/>
    </row>
    <row r="19" customFormat="false" ht="30" hidden="false" customHeight="true" outlineLevel="0" collapsed="false">
      <c r="A19" s="1" t="s">
        <v>26</v>
      </c>
      <c r="B19" s="3" t="s">
        <v>27</v>
      </c>
    </row>
    <row r="20" customFormat="false" ht="30" hidden="false" customHeight="true" outlineLevel="0" collapsed="false">
      <c r="A20" s="1" t="s">
        <v>28</v>
      </c>
      <c r="B20" s="3" t="s">
        <v>29</v>
      </c>
    </row>
    <row r="21" customFormat="false" ht="30" hidden="false" customHeight="true" outlineLevel="0" collapsed="false">
      <c r="A21" s="1" t="s">
        <v>30</v>
      </c>
      <c r="B21" s="3" t="s">
        <v>31</v>
      </c>
    </row>
    <row r="23" customFormat="false" ht="15" hidden="false" customHeight="false" outlineLevel="0" collapsed="false">
      <c r="A23" s="1" t="s">
        <v>32</v>
      </c>
      <c r="B23" s="5" t="s">
        <v>33</v>
      </c>
    </row>
    <row r="24" customFormat="false" ht="15" hidden="false" customHeight="false" outlineLevel="0" collapsed="false">
      <c r="B24" s="6"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8"/>
    <col collapsed="false" customWidth="true" hidden="false" outlineLevel="0" max="4" min="4" style="0" width="14"/>
    <col collapsed="false" customWidth="true" hidden="false" outlineLevel="0" max="6" min="5" style="0" width="22"/>
    <col collapsed="false" customWidth="true" hidden="false" outlineLevel="0" max="7" min="7" style="0" width="20"/>
    <col collapsed="false" customWidth="true" hidden="false" outlineLevel="0" max="8" min="8" style="0" width="16"/>
    <col collapsed="false" customWidth="true" hidden="false" outlineLevel="0" max="9" min="9" style="0" width="13"/>
    <col collapsed="false" customWidth="true" hidden="false" outlineLevel="0" max="10" min="10" style="0" width="14"/>
    <col collapsed="false" customWidth="true" hidden="false" outlineLevel="0" max="11" min="11" style="0" width="10"/>
    <col collapsed="false" customWidth="true" hidden="false" outlineLevel="0" max="12" min="12" style="0" width="18"/>
    <col collapsed="false" customWidth="true" hidden="false" outlineLevel="0" max="13" min="13" style="0" width="22"/>
    <col collapsed="false" customWidth="true" hidden="false" outlineLevel="0" max="14" min="14" style="0" width="14"/>
    <col collapsed="false" customWidth="true" hidden="false" outlineLevel="0" max="15" min="15" style="0" width="18"/>
    <col collapsed="false" customWidth="true" hidden="false" outlineLevel="0" max="16" min="16" style="0" width="14"/>
    <col collapsed="false" customWidth="true" hidden="false" outlineLevel="0" max="17" min="17" style="0" width="24"/>
    <col collapsed="false" customWidth="true" hidden="false" outlineLevel="0" max="19" min="18" style="0" width="16"/>
    <col collapsed="false" customWidth="true" hidden="false" outlineLevel="0" max="20" min="20" style="0" width="30"/>
  </cols>
  <sheetData>
    <row r="1" customFormat="false" ht="33.75" hidden="false" customHeight="true" outlineLevel="0" collapsed="false">
      <c r="A1" s="7" t="s">
        <v>35</v>
      </c>
      <c r="B1" s="7" t="s">
        <v>36</v>
      </c>
      <c r="C1" s="7" t="s">
        <v>37</v>
      </c>
      <c r="D1" s="7" t="s">
        <v>38</v>
      </c>
      <c r="E1" s="7" t="s">
        <v>39</v>
      </c>
      <c r="F1" s="7" t="s">
        <v>40</v>
      </c>
      <c r="G1" s="7" t="s">
        <v>41</v>
      </c>
      <c r="H1" s="7" t="s">
        <v>42</v>
      </c>
      <c r="I1" s="7" t="s">
        <v>43</v>
      </c>
      <c r="J1" s="7" t="s">
        <v>44</v>
      </c>
      <c r="K1" s="7" t="s">
        <v>45</v>
      </c>
      <c r="L1" s="7" t="s">
        <v>46</v>
      </c>
      <c r="M1" s="7" t="s">
        <v>47</v>
      </c>
      <c r="N1" s="7" t="s">
        <v>48</v>
      </c>
      <c r="O1" s="7" t="s">
        <v>49</v>
      </c>
      <c r="P1" s="7" t="s">
        <v>50</v>
      </c>
      <c r="Q1" s="7" t="s">
        <v>51</v>
      </c>
      <c r="R1" s="7" t="s">
        <v>52</v>
      </c>
      <c r="S1" s="7" t="s">
        <v>53</v>
      </c>
      <c r="T1" s="7" t="s">
        <v>54</v>
      </c>
    </row>
    <row r="2" customFormat="false" ht="22.35" hidden="false" customHeight="false" outlineLevel="0" collapsed="false">
      <c r="A2" s="8" t="s">
        <v>55</v>
      </c>
      <c r="B2" s="8" t="s">
        <v>56</v>
      </c>
      <c r="C2" s="8" t="n">
        <v>2023</v>
      </c>
      <c r="D2" s="8" t="s">
        <v>57</v>
      </c>
      <c r="E2" s="8" t="s">
        <v>58</v>
      </c>
      <c r="F2" s="8" t="s">
        <v>59</v>
      </c>
      <c r="G2" s="8" t="s">
        <v>60</v>
      </c>
      <c r="H2" s="8" t="s">
        <v>61</v>
      </c>
      <c r="I2" s="8" t="n">
        <v>512</v>
      </c>
      <c r="J2" s="8" t="s">
        <v>62</v>
      </c>
      <c r="K2" s="8" t="n">
        <v>61</v>
      </c>
      <c r="L2" s="8" t="s">
        <v>63</v>
      </c>
      <c r="M2" s="8" t="s">
        <v>64</v>
      </c>
      <c r="N2" s="8" t="n">
        <v>31.2</v>
      </c>
      <c r="O2" s="8" t="s">
        <v>65</v>
      </c>
      <c r="P2" s="8" t="n">
        <v>24</v>
      </c>
      <c r="Q2" s="8" t="s">
        <v>66</v>
      </c>
      <c r="R2" s="8" t="s">
        <v>67</v>
      </c>
      <c r="S2" s="8" t="s">
        <v>68</v>
      </c>
      <c r="T2" s="8" t="s">
        <v>69</v>
      </c>
    </row>
    <row r="3" customFormat="false" ht="15" hidden="false" customHeight="false" outlineLevel="0" collapsed="false">
      <c r="A3" s="9"/>
      <c r="B3" s="9"/>
      <c r="C3" s="9"/>
      <c r="D3" s="9"/>
      <c r="E3" s="9"/>
      <c r="F3" s="9"/>
      <c r="G3" s="9"/>
      <c r="H3" s="9"/>
      <c r="I3" s="9"/>
      <c r="J3" s="9"/>
      <c r="K3" s="9"/>
      <c r="L3" s="9"/>
      <c r="M3" s="9"/>
      <c r="N3" s="9"/>
      <c r="O3" s="9"/>
      <c r="P3" s="9"/>
      <c r="Q3" s="9"/>
      <c r="R3" s="9"/>
      <c r="S3" s="9"/>
      <c r="T3" s="9"/>
    </row>
    <row r="4" customFormat="false" ht="15" hidden="false" customHeight="false" outlineLevel="0" collapsed="false">
      <c r="A4" s="9"/>
      <c r="B4" s="9"/>
      <c r="C4" s="9"/>
      <c r="D4" s="9"/>
      <c r="E4" s="9"/>
      <c r="F4" s="9"/>
      <c r="G4" s="9"/>
      <c r="H4" s="9"/>
      <c r="I4" s="9"/>
      <c r="J4" s="9"/>
      <c r="K4" s="9"/>
      <c r="L4" s="9"/>
      <c r="M4" s="9"/>
      <c r="N4" s="9"/>
      <c r="O4" s="9"/>
      <c r="P4" s="9"/>
      <c r="Q4" s="9"/>
      <c r="R4" s="9"/>
      <c r="S4" s="9"/>
      <c r="T4" s="9"/>
    </row>
    <row r="5" customFormat="false" ht="15" hidden="false" customHeight="false" outlineLevel="0" collapsed="false">
      <c r="A5" s="9"/>
      <c r="B5" s="9"/>
      <c r="C5" s="9"/>
      <c r="D5" s="9"/>
      <c r="E5" s="9"/>
      <c r="F5" s="9"/>
      <c r="G5" s="9"/>
      <c r="H5" s="9"/>
      <c r="I5" s="9"/>
      <c r="J5" s="9"/>
      <c r="K5" s="9"/>
      <c r="L5" s="9"/>
      <c r="M5" s="9"/>
      <c r="N5" s="9"/>
      <c r="O5" s="9"/>
      <c r="P5" s="9"/>
      <c r="Q5" s="9"/>
      <c r="R5" s="9"/>
      <c r="S5" s="9"/>
      <c r="T5" s="9"/>
    </row>
    <row r="6" customFormat="false" ht="15" hidden="false" customHeight="false" outlineLevel="0" collapsed="false">
      <c r="A6" s="9"/>
      <c r="B6" s="9"/>
      <c r="C6" s="9"/>
      <c r="D6" s="9"/>
      <c r="E6" s="9"/>
      <c r="F6" s="9"/>
      <c r="G6" s="9"/>
      <c r="H6" s="9"/>
      <c r="I6" s="9"/>
      <c r="J6" s="9"/>
      <c r="K6" s="9"/>
      <c r="L6" s="9"/>
      <c r="M6" s="9"/>
      <c r="N6" s="9"/>
      <c r="O6" s="9"/>
      <c r="P6" s="9"/>
      <c r="Q6" s="9"/>
      <c r="R6" s="9"/>
      <c r="S6" s="9"/>
      <c r="T6" s="9"/>
    </row>
    <row r="7" customFormat="false" ht="15" hidden="false" customHeight="false" outlineLevel="0" collapsed="false">
      <c r="A7" s="9"/>
      <c r="B7" s="9"/>
      <c r="C7" s="9"/>
      <c r="D7" s="9"/>
      <c r="E7" s="9"/>
      <c r="F7" s="9"/>
      <c r="G7" s="9"/>
      <c r="H7" s="9"/>
      <c r="I7" s="9"/>
      <c r="J7" s="9"/>
      <c r="K7" s="9"/>
      <c r="L7" s="9"/>
      <c r="M7" s="9"/>
      <c r="N7" s="9"/>
      <c r="O7" s="9"/>
      <c r="P7" s="9"/>
      <c r="Q7" s="9"/>
      <c r="R7" s="9"/>
      <c r="S7" s="9"/>
      <c r="T7" s="9"/>
    </row>
    <row r="8" customFormat="false" ht="15" hidden="false" customHeight="false" outlineLevel="0" collapsed="false">
      <c r="A8" s="9"/>
      <c r="B8" s="9"/>
      <c r="C8" s="9"/>
      <c r="D8" s="9"/>
      <c r="E8" s="9"/>
      <c r="F8" s="9"/>
      <c r="G8" s="9"/>
      <c r="H8" s="9"/>
      <c r="I8" s="9"/>
      <c r="J8" s="9"/>
      <c r="K8" s="9"/>
      <c r="L8" s="9"/>
      <c r="M8" s="9"/>
      <c r="N8" s="9"/>
      <c r="O8" s="9"/>
      <c r="P8" s="9"/>
      <c r="Q8" s="9"/>
      <c r="R8" s="9"/>
      <c r="S8" s="9"/>
      <c r="T8" s="9"/>
    </row>
    <row r="9" customFormat="false" ht="15" hidden="false" customHeight="false" outlineLevel="0" collapsed="false">
      <c r="A9" s="9"/>
      <c r="B9" s="9"/>
      <c r="C9" s="9"/>
      <c r="D9" s="9"/>
      <c r="E9" s="9"/>
      <c r="F9" s="9"/>
      <c r="G9" s="9"/>
      <c r="H9" s="9"/>
      <c r="I9" s="9"/>
      <c r="J9" s="9"/>
      <c r="K9" s="9"/>
      <c r="L9" s="9"/>
      <c r="M9" s="9"/>
      <c r="N9" s="9"/>
      <c r="O9" s="9"/>
      <c r="P9" s="9"/>
      <c r="Q9" s="9"/>
      <c r="R9" s="9"/>
      <c r="S9" s="9"/>
      <c r="T9" s="9"/>
    </row>
    <row r="10" customFormat="false" ht="15" hidden="false" customHeight="false" outlineLevel="0" collapsed="false">
      <c r="A10" s="9"/>
      <c r="B10" s="9"/>
      <c r="C10" s="9"/>
      <c r="D10" s="9"/>
      <c r="E10" s="9"/>
      <c r="F10" s="9"/>
      <c r="G10" s="9"/>
      <c r="H10" s="9"/>
      <c r="I10" s="9"/>
      <c r="J10" s="9"/>
      <c r="K10" s="9"/>
      <c r="L10" s="9"/>
      <c r="M10" s="9"/>
      <c r="N10" s="9"/>
      <c r="O10" s="9"/>
      <c r="P10" s="9"/>
      <c r="Q10" s="9"/>
      <c r="R10" s="9"/>
      <c r="S10" s="9"/>
      <c r="T10" s="9"/>
    </row>
    <row r="11" customFormat="false" ht="15" hidden="false" customHeight="false" outlineLevel="0" collapsed="false">
      <c r="A11" s="9"/>
      <c r="B11" s="9"/>
      <c r="C11" s="9"/>
      <c r="D11" s="9"/>
      <c r="E11" s="9"/>
      <c r="F11" s="9"/>
      <c r="G11" s="9"/>
      <c r="H11" s="9"/>
      <c r="I11" s="9"/>
      <c r="J11" s="9"/>
      <c r="K11" s="9"/>
      <c r="L11" s="9"/>
      <c r="M11" s="9"/>
      <c r="N11" s="9"/>
      <c r="O11" s="9"/>
      <c r="P11" s="9"/>
      <c r="Q11" s="9"/>
      <c r="R11" s="9"/>
      <c r="S11" s="9"/>
      <c r="T11" s="9"/>
    </row>
    <row r="12" customFormat="false" ht="15" hidden="false" customHeight="false" outlineLevel="0" collapsed="false">
      <c r="A12" s="9"/>
      <c r="B12" s="9"/>
      <c r="C12" s="9"/>
      <c r="D12" s="9"/>
      <c r="E12" s="9"/>
      <c r="F12" s="9"/>
      <c r="G12" s="9"/>
      <c r="H12" s="9"/>
      <c r="I12" s="9"/>
      <c r="J12" s="9"/>
      <c r="K12" s="9"/>
      <c r="L12" s="9"/>
      <c r="M12" s="9"/>
      <c r="N12" s="9"/>
      <c r="O12" s="9"/>
      <c r="P12" s="9"/>
      <c r="Q12" s="9"/>
      <c r="R12" s="9"/>
      <c r="S12" s="9"/>
      <c r="T12" s="9"/>
    </row>
    <row r="13" customFormat="false" ht="15" hidden="false" customHeight="false" outlineLevel="0" collapsed="false">
      <c r="A13" s="9"/>
      <c r="B13" s="9"/>
      <c r="C13" s="9"/>
      <c r="D13" s="9"/>
      <c r="E13" s="9"/>
      <c r="F13" s="9"/>
      <c r="G13" s="9"/>
      <c r="H13" s="9"/>
      <c r="I13" s="9"/>
      <c r="J13" s="9"/>
      <c r="K13" s="9"/>
      <c r="L13" s="9"/>
      <c r="M13" s="9"/>
      <c r="N13" s="9"/>
      <c r="O13" s="9"/>
      <c r="P13" s="9"/>
      <c r="Q13" s="9"/>
      <c r="R13" s="9"/>
      <c r="S13" s="9"/>
      <c r="T13" s="9"/>
    </row>
    <row r="14" customFormat="false" ht="15" hidden="false" customHeight="false" outlineLevel="0" collapsed="false">
      <c r="A14" s="9"/>
      <c r="B14" s="9"/>
      <c r="C14" s="9"/>
      <c r="D14" s="9"/>
      <c r="E14" s="9"/>
      <c r="F14" s="9"/>
      <c r="G14" s="9"/>
      <c r="H14" s="9"/>
      <c r="I14" s="9"/>
      <c r="J14" s="9"/>
      <c r="K14" s="9"/>
      <c r="L14" s="9"/>
      <c r="M14" s="9"/>
      <c r="N14" s="9"/>
      <c r="O14" s="9"/>
      <c r="P14" s="9"/>
      <c r="Q14" s="9"/>
      <c r="R14" s="9"/>
      <c r="S14" s="9"/>
      <c r="T14" s="9"/>
    </row>
    <row r="15" customFormat="false" ht="15" hidden="false" customHeight="false" outlineLevel="0" collapsed="false">
      <c r="A15" s="9"/>
      <c r="B15" s="9"/>
      <c r="C15" s="9"/>
      <c r="D15" s="9"/>
      <c r="E15" s="9"/>
      <c r="F15" s="9"/>
      <c r="G15" s="9"/>
      <c r="H15" s="9"/>
      <c r="I15" s="9"/>
      <c r="J15" s="9"/>
      <c r="K15" s="9"/>
      <c r="L15" s="9"/>
      <c r="M15" s="9"/>
      <c r="N15" s="9"/>
      <c r="O15" s="9"/>
      <c r="P15" s="9"/>
      <c r="Q15" s="9"/>
      <c r="R15" s="9"/>
      <c r="S15" s="9"/>
      <c r="T15" s="9"/>
    </row>
    <row r="16" customFormat="false" ht="15" hidden="false" customHeight="false" outlineLevel="0" collapsed="false">
      <c r="A16" s="9"/>
      <c r="B16" s="9"/>
      <c r="C16" s="9"/>
      <c r="D16" s="9"/>
      <c r="E16" s="9"/>
      <c r="F16" s="9"/>
      <c r="G16" s="9"/>
      <c r="H16" s="9"/>
      <c r="I16" s="9"/>
      <c r="J16" s="9"/>
      <c r="K16" s="9"/>
      <c r="L16" s="9"/>
      <c r="M16" s="9"/>
      <c r="N16" s="9"/>
      <c r="O16" s="9"/>
      <c r="P16" s="9"/>
      <c r="Q16" s="9"/>
      <c r="R16" s="9"/>
      <c r="S16" s="9"/>
      <c r="T16" s="9"/>
    </row>
    <row r="17" customFormat="false" ht="15" hidden="false" customHeight="false" outlineLevel="0" collapsed="false">
      <c r="A17" s="9"/>
      <c r="B17" s="9"/>
      <c r="C17" s="9"/>
      <c r="D17" s="9"/>
      <c r="E17" s="9"/>
      <c r="F17" s="9"/>
      <c r="G17" s="9"/>
      <c r="H17" s="9"/>
      <c r="I17" s="9"/>
      <c r="J17" s="9"/>
      <c r="K17" s="9"/>
      <c r="L17" s="9"/>
      <c r="M17" s="9"/>
      <c r="N17" s="9"/>
      <c r="O17" s="9"/>
      <c r="P17" s="9"/>
      <c r="Q17" s="9"/>
      <c r="R17" s="9"/>
      <c r="S17" s="9"/>
      <c r="T17" s="9"/>
    </row>
    <row r="18" customFormat="false" ht="15" hidden="false" customHeight="false" outlineLevel="0" collapsed="false">
      <c r="A18" s="9"/>
      <c r="B18" s="9"/>
      <c r="C18" s="9"/>
      <c r="D18" s="9"/>
      <c r="E18" s="9"/>
      <c r="F18" s="9"/>
      <c r="G18" s="9"/>
      <c r="H18" s="9"/>
      <c r="I18" s="9"/>
      <c r="J18" s="9"/>
      <c r="K18" s="9"/>
      <c r="L18" s="9"/>
      <c r="M18" s="9"/>
      <c r="N18" s="9"/>
      <c r="O18" s="9"/>
      <c r="P18" s="9"/>
      <c r="Q18" s="9"/>
      <c r="R18" s="9"/>
      <c r="S18" s="9"/>
      <c r="T18" s="9"/>
    </row>
    <row r="19" customFormat="false" ht="15" hidden="false" customHeight="false" outlineLevel="0" collapsed="false">
      <c r="A19" s="9"/>
      <c r="B19" s="9"/>
      <c r="C19" s="9"/>
      <c r="D19" s="9"/>
      <c r="E19" s="9"/>
      <c r="F19" s="9"/>
      <c r="G19" s="9"/>
      <c r="H19" s="9"/>
      <c r="I19" s="9"/>
      <c r="J19" s="9"/>
      <c r="K19" s="9"/>
      <c r="L19" s="9"/>
      <c r="M19" s="9"/>
      <c r="N19" s="9"/>
      <c r="O19" s="9"/>
      <c r="P19" s="9"/>
      <c r="Q19" s="9"/>
      <c r="R19" s="9"/>
      <c r="S19" s="9"/>
      <c r="T19" s="9"/>
    </row>
    <row r="20" customFormat="false" ht="15" hidden="false" customHeight="false" outlineLevel="0" collapsed="false">
      <c r="A20" s="9"/>
      <c r="B20" s="9"/>
      <c r="C20" s="9"/>
      <c r="D20" s="9"/>
      <c r="E20" s="9"/>
      <c r="F20" s="9"/>
      <c r="G20" s="9"/>
      <c r="H20" s="9"/>
      <c r="I20" s="9"/>
      <c r="J20" s="9"/>
      <c r="K20" s="9"/>
      <c r="L20" s="9"/>
      <c r="M20" s="9"/>
      <c r="N20" s="9"/>
      <c r="O20" s="9"/>
      <c r="P20" s="9"/>
      <c r="Q20" s="9"/>
      <c r="R20" s="9"/>
      <c r="S20" s="9"/>
      <c r="T20" s="9"/>
    </row>
    <row r="21" customFormat="false" ht="15" hidden="false" customHeight="false" outlineLevel="0" collapsed="false">
      <c r="A21" s="9"/>
      <c r="B21" s="9"/>
      <c r="C21" s="9"/>
      <c r="D21" s="9"/>
      <c r="E21" s="9"/>
      <c r="F21" s="9"/>
      <c r="G21" s="9"/>
      <c r="H21" s="9"/>
      <c r="I21" s="9"/>
      <c r="J21" s="9"/>
      <c r="K21" s="9"/>
      <c r="L21" s="9"/>
      <c r="M21" s="9"/>
      <c r="N21" s="9"/>
      <c r="O21" s="9"/>
      <c r="P21" s="9"/>
      <c r="Q21" s="9"/>
      <c r="R21" s="9"/>
      <c r="S21" s="9"/>
      <c r="T21" s="9"/>
    </row>
    <row r="22" customFormat="false" ht="15" hidden="false" customHeight="false" outlineLevel="0" collapsed="false">
      <c r="A22" s="9"/>
      <c r="B22" s="9"/>
      <c r="C22" s="9"/>
      <c r="D22" s="9"/>
      <c r="E22" s="9"/>
      <c r="F22" s="9"/>
      <c r="G22" s="9"/>
      <c r="H22" s="9"/>
      <c r="I22" s="9"/>
      <c r="J22" s="9"/>
      <c r="K22" s="9"/>
      <c r="L22" s="9"/>
      <c r="M22" s="9"/>
      <c r="N22" s="9"/>
      <c r="O22" s="9"/>
      <c r="P22" s="9"/>
      <c r="Q22" s="9"/>
      <c r="R22" s="9"/>
      <c r="S22" s="9"/>
      <c r="T22" s="9"/>
    </row>
    <row r="23" customFormat="false" ht="15" hidden="false" customHeight="false" outlineLevel="0" collapsed="false">
      <c r="A23" s="9"/>
      <c r="B23" s="9"/>
      <c r="C23" s="9"/>
      <c r="D23" s="9"/>
      <c r="E23" s="9"/>
      <c r="F23" s="9"/>
      <c r="G23" s="9"/>
      <c r="H23" s="9"/>
      <c r="I23" s="9"/>
      <c r="J23" s="9"/>
      <c r="K23" s="9"/>
      <c r="L23" s="9"/>
      <c r="M23" s="9"/>
      <c r="N23" s="9"/>
      <c r="O23" s="9"/>
      <c r="P23" s="9"/>
      <c r="Q23" s="9"/>
      <c r="R23" s="9"/>
      <c r="S23" s="9"/>
      <c r="T23" s="9"/>
    </row>
    <row r="24" customFormat="false" ht="15" hidden="false" customHeight="false" outlineLevel="0" collapsed="false">
      <c r="A24" s="9"/>
      <c r="B24" s="9"/>
      <c r="C24" s="9"/>
      <c r="D24" s="9"/>
      <c r="E24" s="9"/>
      <c r="F24" s="9"/>
      <c r="G24" s="9"/>
      <c r="H24" s="9"/>
      <c r="I24" s="9"/>
      <c r="J24" s="9"/>
      <c r="K24" s="9"/>
      <c r="L24" s="9"/>
      <c r="M24" s="9"/>
      <c r="N24" s="9"/>
      <c r="O24" s="9"/>
      <c r="P24" s="9"/>
      <c r="Q24" s="9"/>
      <c r="R24" s="9"/>
      <c r="S24" s="9"/>
      <c r="T24" s="9"/>
    </row>
    <row r="25" customFormat="false" ht="15" hidden="false" customHeight="false" outlineLevel="0" collapsed="false">
      <c r="A25" s="9"/>
      <c r="B25" s="9"/>
      <c r="C25" s="9"/>
      <c r="D25" s="9"/>
      <c r="E25" s="9"/>
      <c r="F25" s="9"/>
      <c r="G25" s="9"/>
      <c r="H25" s="9"/>
      <c r="I25" s="9"/>
      <c r="J25" s="9"/>
      <c r="K25" s="9"/>
      <c r="L25" s="9"/>
      <c r="M25" s="9"/>
      <c r="N25" s="9"/>
      <c r="O25" s="9"/>
      <c r="P25" s="9"/>
      <c r="Q25" s="9"/>
      <c r="R25" s="9"/>
      <c r="S25" s="9"/>
      <c r="T25" s="9"/>
    </row>
    <row r="26" customFormat="false" ht="15" hidden="false" customHeight="false" outlineLevel="0" collapsed="false">
      <c r="A26" s="9"/>
      <c r="B26" s="9"/>
      <c r="C26" s="9"/>
      <c r="D26" s="9"/>
      <c r="E26" s="9"/>
      <c r="F26" s="9"/>
      <c r="G26" s="9"/>
      <c r="H26" s="9"/>
      <c r="I26" s="9"/>
      <c r="J26" s="9"/>
      <c r="K26" s="9"/>
      <c r="L26" s="9"/>
      <c r="M26" s="9"/>
      <c r="N26" s="9"/>
      <c r="O26" s="9"/>
      <c r="P26" s="9"/>
      <c r="Q26" s="9"/>
      <c r="R26" s="9"/>
      <c r="S26" s="9"/>
      <c r="T26" s="9"/>
    </row>
    <row r="27" customFormat="false" ht="15" hidden="false" customHeight="false" outlineLevel="0" collapsed="false">
      <c r="A27" s="9"/>
      <c r="B27" s="9"/>
      <c r="C27" s="9"/>
      <c r="D27" s="9"/>
      <c r="E27" s="9"/>
      <c r="F27" s="9"/>
      <c r="G27" s="9"/>
      <c r="H27" s="9"/>
      <c r="I27" s="9"/>
      <c r="J27" s="9"/>
      <c r="K27" s="9"/>
      <c r="L27" s="9"/>
      <c r="M27" s="9"/>
      <c r="N27" s="9"/>
      <c r="O27" s="9"/>
      <c r="P27" s="9"/>
      <c r="Q27" s="9"/>
      <c r="R27" s="9"/>
      <c r="S27" s="9"/>
      <c r="T27" s="9"/>
    </row>
    <row r="28" customFormat="false" ht="15" hidden="false" customHeight="false" outlineLevel="0" collapsed="false">
      <c r="A28" s="9"/>
      <c r="B28" s="9"/>
      <c r="C28" s="9"/>
      <c r="D28" s="9"/>
      <c r="E28" s="9"/>
      <c r="F28" s="9"/>
      <c r="G28" s="9"/>
      <c r="H28" s="9"/>
      <c r="I28" s="9"/>
      <c r="J28" s="9"/>
      <c r="K28" s="9"/>
      <c r="L28" s="9"/>
      <c r="M28" s="9"/>
      <c r="N28" s="9"/>
      <c r="O28" s="9"/>
      <c r="P28" s="9"/>
      <c r="Q28" s="9"/>
      <c r="R28" s="9"/>
      <c r="S28" s="9"/>
      <c r="T28" s="9"/>
    </row>
    <row r="29" customFormat="false" ht="15" hidden="false" customHeight="false" outlineLevel="0" collapsed="false">
      <c r="A29" s="9"/>
      <c r="B29" s="9"/>
      <c r="C29" s="9"/>
      <c r="D29" s="9"/>
      <c r="E29" s="9"/>
      <c r="F29" s="9"/>
      <c r="G29" s="9"/>
      <c r="H29" s="9"/>
      <c r="I29" s="9"/>
      <c r="J29" s="9"/>
      <c r="K29" s="9"/>
      <c r="L29" s="9"/>
      <c r="M29" s="9"/>
      <c r="N29" s="9"/>
      <c r="O29" s="9"/>
      <c r="P29" s="9"/>
      <c r="Q29" s="9"/>
      <c r="R29" s="9"/>
      <c r="S29" s="9"/>
      <c r="T29" s="9"/>
    </row>
    <row r="30" customFormat="false" ht="15" hidden="false" customHeight="false" outlineLevel="0" collapsed="false">
      <c r="A30" s="9"/>
      <c r="B30" s="9"/>
      <c r="C30" s="9"/>
      <c r="D30" s="9"/>
      <c r="E30" s="9"/>
      <c r="F30" s="9"/>
      <c r="G30" s="9"/>
      <c r="H30" s="9"/>
      <c r="I30" s="9"/>
      <c r="J30" s="9"/>
      <c r="K30" s="9"/>
      <c r="L30" s="9"/>
      <c r="M30" s="9"/>
      <c r="N30" s="9"/>
      <c r="O30" s="9"/>
      <c r="P30" s="9"/>
      <c r="Q30" s="9"/>
      <c r="R30" s="9"/>
      <c r="S30" s="9"/>
      <c r="T30" s="9"/>
    </row>
    <row r="31" customFormat="false" ht="15" hidden="false" customHeight="false" outlineLevel="0" collapsed="false">
      <c r="A31" s="9"/>
      <c r="B31" s="9"/>
      <c r="C31" s="9"/>
      <c r="D31" s="9"/>
      <c r="E31" s="9"/>
      <c r="F31" s="9"/>
      <c r="G31" s="9"/>
      <c r="H31" s="9"/>
      <c r="I31" s="9"/>
      <c r="J31" s="9"/>
      <c r="K31" s="9"/>
      <c r="L31" s="9"/>
      <c r="M31" s="9"/>
      <c r="N31" s="9"/>
      <c r="O31" s="9"/>
      <c r="P31" s="9"/>
      <c r="Q31" s="9"/>
      <c r="R31" s="9"/>
      <c r="S31" s="9"/>
      <c r="T31" s="9"/>
    </row>
    <row r="32" customFormat="false" ht="15" hidden="false" customHeight="false" outlineLevel="0" collapsed="false">
      <c r="A32" s="9"/>
      <c r="B32" s="9"/>
      <c r="C32" s="9"/>
      <c r="D32" s="9"/>
      <c r="E32" s="9"/>
      <c r="F32" s="9"/>
      <c r="G32" s="9"/>
      <c r="H32" s="9"/>
      <c r="I32" s="9"/>
      <c r="J32" s="9"/>
      <c r="K32" s="9"/>
      <c r="L32" s="9"/>
      <c r="M32" s="9"/>
      <c r="N32" s="9"/>
      <c r="O32" s="9"/>
      <c r="P32" s="9"/>
      <c r="Q32" s="9"/>
      <c r="R32" s="9"/>
      <c r="S32" s="9"/>
      <c r="T32" s="9"/>
    </row>
    <row r="33" customFormat="false" ht="15" hidden="false" customHeight="false" outlineLevel="0" collapsed="false">
      <c r="A33" s="9"/>
      <c r="B33" s="9"/>
      <c r="C33" s="9"/>
      <c r="D33" s="9"/>
      <c r="E33" s="9"/>
      <c r="F33" s="9"/>
      <c r="G33" s="9"/>
      <c r="H33" s="9"/>
      <c r="I33" s="9"/>
      <c r="J33" s="9"/>
      <c r="K33" s="9"/>
      <c r="L33" s="9"/>
      <c r="M33" s="9"/>
      <c r="N33" s="9"/>
      <c r="O33" s="9"/>
      <c r="P33" s="9"/>
      <c r="Q33" s="9"/>
      <c r="R33" s="9"/>
      <c r="S33" s="9"/>
      <c r="T33" s="9"/>
    </row>
    <row r="34" customFormat="false" ht="15" hidden="false" customHeight="false" outlineLevel="0" collapsed="false">
      <c r="A34" s="9"/>
      <c r="B34" s="9"/>
      <c r="C34" s="9"/>
      <c r="D34" s="9"/>
      <c r="E34" s="9"/>
      <c r="F34" s="9"/>
      <c r="G34" s="9"/>
      <c r="H34" s="9"/>
      <c r="I34" s="9"/>
      <c r="J34" s="9"/>
      <c r="K34" s="9"/>
      <c r="L34" s="9"/>
      <c r="M34" s="9"/>
      <c r="N34" s="9"/>
      <c r="O34" s="9"/>
      <c r="P34" s="9"/>
      <c r="Q34" s="9"/>
      <c r="R34" s="9"/>
      <c r="S34" s="9"/>
      <c r="T34" s="9"/>
    </row>
    <row r="35" customFormat="false" ht="15" hidden="false" customHeight="false" outlineLevel="0" collapsed="false">
      <c r="A35" s="9"/>
      <c r="B35" s="9"/>
      <c r="C35" s="9"/>
      <c r="D35" s="9"/>
      <c r="E35" s="9"/>
      <c r="F35" s="9"/>
      <c r="G35" s="9"/>
      <c r="H35" s="9"/>
      <c r="I35" s="9"/>
      <c r="J35" s="9"/>
      <c r="K35" s="9"/>
      <c r="L35" s="9"/>
      <c r="M35" s="9"/>
      <c r="N35" s="9"/>
      <c r="O35" s="9"/>
      <c r="P35" s="9"/>
      <c r="Q35" s="9"/>
      <c r="R35" s="9"/>
      <c r="S35" s="9"/>
      <c r="T35" s="9"/>
    </row>
    <row r="36" customFormat="false" ht="15" hidden="false" customHeight="false" outlineLevel="0" collapsed="false">
      <c r="A36" s="9"/>
      <c r="B36" s="9"/>
      <c r="C36" s="9"/>
      <c r="D36" s="9"/>
      <c r="E36" s="9"/>
      <c r="F36" s="9"/>
      <c r="G36" s="9"/>
      <c r="H36" s="9"/>
      <c r="I36" s="9"/>
      <c r="J36" s="9"/>
      <c r="K36" s="9"/>
      <c r="L36" s="9"/>
      <c r="M36" s="9"/>
      <c r="N36" s="9"/>
      <c r="O36" s="9"/>
      <c r="P36" s="9"/>
      <c r="Q36" s="9"/>
      <c r="R36" s="9"/>
      <c r="S36" s="9"/>
      <c r="T36" s="9"/>
    </row>
    <row r="37" customFormat="false" ht="15" hidden="false" customHeight="false" outlineLevel="0" collapsed="false">
      <c r="A37" s="9"/>
      <c r="B37" s="9"/>
      <c r="C37" s="9"/>
      <c r="D37" s="9"/>
      <c r="E37" s="9"/>
      <c r="F37" s="9"/>
      <c r="G37" s="9"/>
      <c r="H37" s="9"/>
      <c r="I37" s="9"/>
      <c r="J37" s="9"/>
      <c r="K37" s="9"/>
      <c r="L37" s="9"/>
      <c r="M37" s="9"/>
      <c r="N37" s="9"/>
      <c r="O37" s="9"/>
      <c r="P37" s="9"/>
      <c r="Q37" s="9"/>
      <c r="R37" s="9"/>
      <c r="S37" s="9"/>
      <c r="T37" s="9"/>
    </row>
    <row r="38" customFormat="false" ht="15" hidden="false" customHeight="false" outlineLevel="0" collapsed="false">
      <c r="A38" s="9"/>
      <c r="B38" s="9"/>
      <c r="C38" s="9"/>
      <c r="D38" s="9"/>
      <c r="E38" s="9"/>
      <c r="F38" s="9"/>
      <c r="G38" s="9"/>
      <c r="H38" s="9"/>
      <c r="I38" s="9"/>
      <c r="J38" s="9"/>
      <c r="K38" s="9"/>
      <c r="L38" s="9"/>
      <c r="M38" s="9"/>
      <c r="N38" s="9"/>
      <c r="O38" s="9"/>
      <c r="P38" s="9"/>
      <c r="Q38" s="9"/>
      <c r="R38" s="9"/>
      <c r="S38" s="9"/>
      <c r="T38" s="9"/>
    </row>
    <row r="39" customFormat="false" ht="15" hidden="false" customHeight="false" outlineLevel="0" collapsed="false">
      <c r="A39" s="9"/>
      <c r="B39" s="9"/>
      <c r="C39" s="9"/>
      <c r="D39" s="9"/>
      <c r="E39" s="9"/>
      <c r="F39" s="9"/>
      <c r="G39" s="9"/>
      <c r="H39" s="9"/>
      <c r="I39" s="9"/>
      <c r="J39" s="9"/>
      <c r="K39" s="9"/>
      <c r="L39" s="9"/>
      <c r="M39" s="9"/>
      <c r="N39" s="9"/>
      <c r="O39" s="9"/>
      <c r="P39" s="9"/>
      <c r="Q39" s="9"/>
      <c r="R39" s="9"/>
      <c r="S39" s="9"/>
      <c r="T39" s="9"/>
    </row>
    <row r="40" customFormat="false" ht="15" hidden="false" customHeight="false" outlineLevel="0" collapsed="false">
      <c r="A40" s="9"/>
      <c r="B40" s="9"/>
      <c r="C40" s="9"/>
      <c r="D40" s="9"/>
      <c r="E40" s="9"/>
      <c r="F40" s="9"/>
      <c r="G40" s="9"/>
      <c r="H40" s="9"/>
      <c r="I40" s="9"/>
      <c r="J40" s="9"/>
      <c r="K40" s="9"/>
      <c r="L40" s="9"/>
      <c r="M40" s="9"/>
      <c r="N40" s="9"/>
      <c r="O40" s="9"/>
      <c r="P40" s="9"/>
      <c r="Q40" s="9"/>
      <c r="R40" s="9"/>
      <c r="S40" s="9"/>
      <c r="T40" s="9"/>
    </row>
    <row r="41" customFormat="false" ht="15" hidden="false" customHeight="false" outlineLevel="0" collapsed="false">
      <c r="A41" s="9"/>
      <c r="B41" s="9"/>
      <c r="C41" s="9"/>
      <c r="D41" s="9"/>
      <c r="E41" s="9"/>
      <c r="F41" s="9"/>
      <c r="G41" s="9"/>
      <c r="H41" s="9"/>
      <c r="I41" s="9"/>
      <c r="J41" s="9"/>
      <c r="K41" s="9"/>
      <c r="L41" s="9"/>
      <c r="M41" s="9"/>
      <c r="N41" s="9"/>
      <c r="O41" s="9"/>
      <c r="P41" s="9"/>
      <c r="Q41" s="9"/>
      <c r="R41" s="9"/>
      <c r="S41" s="9"/>
      <c r="T41" s="9"/>
    </row>
    <row r="42" customFormat="false" ht="15" hidden="false" customHeight="false" outlineLevel="0" collapsed="false">
      <c r="A42" s="9"/>
      <c r="B42" s="9"/>
      <c r="C42" s="9"/>
      <c r="D42" s="9"/>
      <c r="E42" s="9"/>
      <c r="F42" s="9"/>
      <c r="G42" s="9"/>
      <c r="H42" s="9"/>
      <c r="I42" s="9"/>
      <c r="J42" s="9"/>
      <c r="K42" s="9"/>
      <c r="L42" s="9"/>
      <c r="M42" s="9"/>
      <c r="N42" s="9"/>
      <c r="O42" s="9"/>
      <c r="P42" s="9"/>
      <c r="Q42" s="9"/>
      <c r="R42" s="9"/>
      <c r="S42" s="9"/>
      <c r="T42" s="9"/>
    </row>
    <row r="43" customFormat="false" ht="15" hidden="false" customHeight="false" outlineLevel="0" collapsed="false">
      <c r="A43" s="9"/>
      <c r="B43" s="9"/>
      <c r="C43" s="9"/>
      <c r="D43" s="9"/>
      <c r="E43" s="9"/>
      <c r="F43" s="9"/>
      <c r="G43" s="9"/>
      <c r="H43" s="9"/>
      <c r="I43" s="9"/>
      <c r="J43" s="9"/>
      <c r="K43" s="9"/>
      <c r="L43" s="9"/>
      <c r="M43" s="9"/>
      <c r="N43" s="9"/>
      <c r="O43" s="9"/>
      <c r="P43" s="9"/>
      <c r="Q43" s="9"/>
      <c r="R43" s="9"/>
      <c r="S43" s="9"/>
      <c r="T43" s="9"/>
    </row>
    <row r="44" customFormat="false" ht="15" hidden="false" customHeight="false" outlineLevel="0" collapsed="false">
      <c r="A44" s="9"/>
      <c r="B44" s="9"/>
      <c r="C44" s="9"/>
      <c r="D44" s="9"/>
      <c r="E44" s="9"/>
      <c r="F44" s="9"/>
      <c r="G44" s="9"/>
      <c r="H44" s="9"/>
      <c r="I44" s="9"/>
      <c r="J44" s="9"/>
      <c r="K44" s="9"/>
      <c r="L44" s="9"/>
      <c r="M44" s="9"/>
      <c r="N44" s="9"/>
      <c r="O44" s="9"/>
      <c r="P44" s="9"/>
      <c r="Q44" s="9"/>
      <c r="R44" s="9"/>
      <c r="S44" s="9"/>
      <c r="T44" s="9"/>
    </row>
    <row r="45" customFormat="false" ht="15" hidden="false" customHeight="false" outlineLevel="0" collapsed="false">
      <c r="A45" s="9"/>
      <c r="B45" s="9"/>
      <c r="C45" s="9"/>
      <c r="D45" s="9"/>
      <c r="E45" s="9"/>
      <c r="F45" s="9"/>
      <c r="G45" s="9"/>
      <c r="H45" s="9"/>
      <c r="I45" s="9"/>
      <c r="J45" s="9"/>
      <c r="K45" s="9"/>
      <c r="L45" s="9"/>
      <c r="M45" s="9"/>
      <c r="N45" s="9"/>
      <c r="O45" s="9"/>
      <c r="P45" s="9"/>
      <c r="Q45" s="9"/>
      <c r="R45" s="9"/>
      <c r="S45" s="9"/>
      <c r="T45" s="9"/>
    </row>
    <row r="46" customFormat="false" ht="15" hidden="false" customHeight="false" outlineLevel="0" collapsed="false">
      <c r="A46" s="9"/>
      <c r="B46" s="9"/>
      <c r="C46" s="9"/>
      <c r="D46" s="9"/>
      <c r="E46" s="9"/>
      <c r="F46" s="9"/>
      <c r="G46" s="9"/>
      <c r="H46" s="9"/>
      <c r="I46" s="9"/>
      <c r="J46" s="9"/>
      <c r="K46" s="9"/>
      <c r="L46" s="9"/>
      <c r="M46" s="9"/>
      <c r="N46" s="9"/>
      <c r="O46" s="9"/>
      <c r="P46" s="9"/>
      <c r="Q46" s="9"/>
      <c r="R46" s="9"/>
      <c r="S46" s="9"/>
      <c r="T46" s="9"/>
    </row>
    <row r="47" customFormat="false" ht="15" hidden="false" customHeight="false" outlineLevel="0" collapsed="false">
      <c r="A47" s="9"/>
      <c r="B47" s="9"/>
      <c r="C47" s="9"/>
      <c r="D47" s="9"/>
      <c r="E47" s="9"/>
      <c r="F47" s="9"/>
      <c r="G47" s="9"/>
      <c r="H47" s="9"/>
      <c r="I47" s="9"/>
      <c r="J47" s="9"/>
      <c r="K47" s="9"/>
      <c r="L47" s="9"/>
      <c r="M47" s="9"/>
      <c r="N47" s="9"/>
      <c r="O47" s="9"/>
      <c r="P47" s="9"/>
      <c r="Q47" s="9"/>
      <c r="R47" s="9"/>
      <c r="S47" s="9"/>
      <c r="T47" s="9"/>
    </row>
    <row r="48" customFormat="false" ht="15" hidden="false" customHeight="false" outlineLevel="0" collapsed="false">
      <c r="A48" s="9"/>
      <c r="B48" s="9"/>
      <c r="C48" s="9"/>
      <c r="D48" s="9"/>
      <c r="E48" s="9"/>
      <c r="F48" s="9"/>
      <c r="G48" s="9"/>
      <c r="H48" s="9"/>
      <c r="I48" s="9"/>
      <c r="J48" s="9"/>
      <c r="K48" s="9"/>
      <c r="L48" s="9"/>
      <c r="M48" s="9"/>
      <c r="N48" s="9"/>
      <c r="O48" s="9"/>
      <c r="P48" s="9"/>
      <c r="Q48" s="9"/>
      <c r="R48" s="9"/>
      <c r="S48" s="9"/>
      <c r="T48" s="9"/>
    </row>
    <row r="49" customFormat="false" ht="15" hidden="false" customHeight="false" outlineLevel="0" collapsed="false">
      <c r="A49" s="9"/>
      <c r="B49" s="9"/>
      <c r="C49" s="9"/>
      <c r="D49" s="9"/>
      <c r="E49" s="9"/>
      <c r="F49" s="9"/>
      <c r="G49" s="9"/>
      <c r="H49" s="9"/>
      <c r="I49" s="9"/>
      <c r="J49" s="9"/>
      <c r="K49" s="9"/>
      <c r="L49" s="9"/>
      <c r="M49" s="9"/>
      <c r="N49" s="9"/>
      <c r="O49" s="9"/>
      <c r="P49" s="9"/>
      <c r="Q49" s="9"/>
      <c r="R49" s="9"/>
      <c r="S49" s="9"/>
      <c r="T49" s="9"/>
    </row>
    <row r="50" customFormat="false" ht="15" hidden="false" customHeight="false" outlineLevel="0" collapsed="false">
      <c r="A50" s="9"/>
      <c r="B50" s="9"/>
      <c r="C50" s="9"/>
      <c r="D50" s="9"/>
      <c r="E50" s="9"/>
      <c r="F50" s="9"/>
      <c r="G50" s="9"/>
      <c r="H50" s="9"/>
      <c r="I50" s="9"/>
      <c r="J50" s="9"/>
      <c r="K50" s="9"/>
      <c r="L50" s="9"/>
      <c r="M50" s="9"/>
      <c r="N50" s="9"/>
      <c r="O50" s="9"/>
      <c r="P50" s="9"/>
      <c r="Q50" s="9"/>
      <c r="R50" s="9"/>
      <c r="S50" s="9"/>
      <c r="T50" s="9"/>
    </row>
    <row r="51" customFormat="false" ht="15" hidden="false" customHeight="false" outlineLevel="0" collapsed="false">
      <c r="A51" s="9"/>
      <c r="B51" s="9"/>
      <c r="C51" s="9"/>
      <c r="D51" s="9"/>
      <c r="E51" s="9"/>
      <c r="F51" s="9"/>
      <c r="G51" s="9"/>
      <c r="H51" s="9"/>
      <c r="I51" s="9"/>
      <c r="J51" s="9"/>
      <c r="K51" s="9"/>
      <c r="L51" s="9"/>
      <c r="M51" s="9"/>
      <c r="N51" s="9"/>
      <c r="O51" s="9"/>
      <c r="P51" s="9"/>
      <c r="Q51" s="9"/>
      <c r="R51" s="9"/>
      <c r="S51" s="9"/>
      <c r="T51" s="9"/>
    </row>
    <row r="52" customFormat="false" ht="15" hidden="false" customHeight="false" outlineLevel="0" collapsed="false">
      <c r="A52" s="9"/>
      <c r="B52" s="9"/>
      <c r="C52" s="9"/>
      <c r="D52" s="9"/>
      <c r="E52" s="9"/>
      <c r="F52" s="9"/>
      <c r="G52" s="9"/>
      <c r="H52" s="9"/>
      <c r="I52" s="9"/>
      <c r="J52" s="9"/>
      <c r="K52" s="9"/>
      <c r="L52" s="9"/>
      <c r="M52" s="9"/>
      <c r="N52" s="9"/>
      <c r="O52" s="9"/>
      <c r="P52" s="9"/>
      <c r="Q52" s="9"/>
      <c r="R52" s="9"/>
      <c r="S52" s="9"/>
      <c r="T52" s="9"/>
    </row>
    <row r="53" customFormat="false" ht="15" hidden="false" customHeight="false" outlineLevel="0" collapsed="false">
      <c r="A53" s="9"/>
      <c r="B53" s="9"/>
      <c r="C53" s="9"/>
      <c r="D53" s="9"/>
      <c r="E53" s="9"/>
      <c r="F53" s="9"/>
      <c r="G53" s="9"/>
      <c r="H53" s="9"/>
      <c r="I53" s="9"/>
      <c r="J53" s="9"/>
      <c r="K53" s="9"/>
      <c r="L53" s="9"/>
      <c r="M53" s="9"/>
      <c r="N53" s="9"/>
      <c r="O53" s="9"/>
      <c r="P53" s="9"/>
      <c r="Q53" s="9"/>
      <c r="R53" s="9"/>
      <c r="S53" s="9"/>
      <c r="T53" s="9"/>
    </row>
    <row r="54" customFormat="false" ht="15" hidden="false" customHeight="false" outlineLevel="0" collapsed="false">
      <c r="A54" s="9"/>
      <c r="B54" s="9"/>
      <c r="C54" s="9"/>
      <c r="D54" s="9"/>
      <c r="E54" s="9"/>
      <c r="F54" s="9"/>
      <c r="G54" s="9"/>
      <c r="H54" s="9"/>
      <c r="I54" s="9"/>
      <c r="J54" s="9"/>
      <c r="K54" s="9"/>
      <c r="L54" s="9"/>
      <c r="M54" s="9"/>
      <c r="N54" s="9"/>
      <c r="O54" s="9"/>
      <c r="P54" s="9"/>
      <c r="Q54" s="9"/>
      <c r="R54" s="9"/>
      <c r="S54" s="9"/>
      <c r="T54" s="9"/>
    </row>
    <row r="55" customFormat="false" ht="15" hidden="false" customHeight="false" outlineLevel="0" collapsed="false">
      <c r="A55" s="9"/>
      <c r="B55" s="9"/>
      <c r="C55" s="9"/>
      <c r="D55" s="9"/>
      <c r="E55" s="9"/>
      <c r="F55" s="9"/>
      <c r="G55" s="9"/>
      <c r="H55" s="9"/>
      <c r="I55" s="9"/>
      <c r="J55" s="9"/>
      <c r="K55" s="9"/>
      <c r="L55" s="9"/>
      <c r="M55" s="9"/>
      <c r="N55" s="9"/>
      <c r="O55" s="9"/>
      <c r="P55" s="9"/>
      <c r="Q55" s="9"/>
      <c r="R55" s="9"/>
      <c r="S55" s="9"/>
      <c r="T55" s="9"/>
    </row>
    <row r="56" customFormat="false" ht="15" hidden="false" customHeight="false" outlineLevel="0" collapsed="false">
      <c r="A56" s="9"/>
      <c r="B56" s="9"/>
      <c r="C56" s="9"/>
      <c r="D56" s="9"/>
      <c r="E56" s="9"/>
      <c r="F56" s="9"/>
      <c r="G56" s="9"/>
      <c r="H56" s="9"/>
      <c r="I56" s="9"/>
      <c r="J56" s="9"/>
      <c r="K56" s="9"/>
      <c r="L56" s="9"/>
      <c r="M56" s="9"/>
      <c r="N56" s="9"/>
      <c r="O56" s="9"/>
      <c r="P56" s="9"/>
      <c r="Q56" s="9"/>
      <c r="R56" s="9"/>
      <c r="S56" s="9"/>
      <c r="T56" s="9"/>
    </row>
    <row r="57" customFormat="false" ht="15" hidden="false" customHeight="false" outlineLevel="0" collapsed="false">
      <c r="A57" s="9"/>
      <c r="B57" s="9"/>
      <c r="C57" s="9"/>
      <c r="D57" s="9"/>
      <c r="E57" s="9"/>
      <c r="F57" s="9"/>
      <c r="G57" s="9"/>
      <c r="H57" s="9"/>
      <c r="I57" s="9"/>
      <c r="J57" s="9"/>
      <c r="K57" s="9"/>
      <c r="L57" s="9"/>
      <c r="M57" s="9"/>
      <c r="N57" s="9"/>
      <c r="O57" s="9"/>
      <c r="P57" s="9"/>
      <c r="Q57" s="9"/>
      <c r="R57" s="9"/>
      <c r="S57" s="9"/>
      <c r="T57" s="9"/>
    </row>
    <row r="58" customFormat="false" ht="15" hidden="false" customHeight="false" outlineLevel="0" collapsed="false">
      <c r="A58" s="9"/>
      <c r="B58" s="9"/>
      <c r="C58" s="9"/>
      <c r="D58" s="9"/>
      <c r="E58" s="9"/>
      <c r="F58" s="9"/>
      <c r="G58" s="9"/>
      <c r="H58" s="9"/>
      <c r="I58" s="9"/>
      <c r="J58" s="9"/>
      <c r="K58" s="9"/>
      <c r="L58" s="9"/>
      <c r="M58" s="9"/>
      <c r="N58" s="9"/>
      <c r="O58" s="9"/>
      <c r="P58" s="9"/>
      <c r="Q58" s="9"/>
      <c r="R58" s="9"/>
      <c r="S58" s="9"/>
      <c r="T58" s="9"/>
    </row>
    <row r="59" customFormat="false" ht="15" hidden="false" customHeight="false" outlineLevel="0" collapsed="false">
      <c r="A59" s="9"/>
      <c r="B59" s="9"/>
      <c r="C59" s="9"/>
      <c r="D59" s="9"/>
      <c r="E59" s="9"/>
      <c r="F59" s="9"/>
      <c r="G59" s="9"/>
      <c r="H59" s="9"/>
      <c r="I59" s="9"/>
      <c r="J59" s="9"/>
      <c r="K59" s="9"/>
      <c r="L59" s="9"/>
      <c r="M59" s="9"/>
      <c r="N59" s="9"/>
      <c r="O59" s="9"/>
      <c r="P59" s="9"/>
      <c r="Q59" s="9"/>
      <c r="R59" s="9"/>
      <c r="S59" s="9"/>
      <c r="T59" s="9"/>
    </row>
    <row r="60" customFormat="false" ht="15" hidden="false" customHeight="false" outlineLevel="0" collapsed="false">
      <c r="A60" s="9"/>
      <c r="B60" s="9"/>
      <c r="C60" s="9"/>
      <c r="D60" s="9"/>
      <c r="E60" s="9"/>
      <c r="F60" s="9"/>
      <c r="G60" s="9"/>
      <c r="H60" s="9"/>
      <c r="I60" s="9"/>
      <c r="J60" s="9"/>
      <c r="K60" s="9"/>
      <c r="L60" s="9"/>
      <c r="M60" s="9"/>
      <c r="N60" s="9"/>
      <c r="O60" s="9"/>
      <c r="P60" s="9"/>
      <c r="Q60" s="9"/>
      <c r="R60" s="9"/>
      <c r="S60" s="9"/>
      <c r="T60" s="9"/>
    </row>
    <row r="61" customFormat="false" ht="15" hidden="false" customHeight="false" outlineLevel="0" collapsed="false">
      <c r="A61" s="9"/>
      <c r="B61" s="9"/>
      <c r="C61" s="9"/>
      <c r="D61" s="9"/>
      <c r="E61" s="9"/>
      <c r="F61" s="9"/>
      <c r="G61" s="9"/>
      <c r="H61" s="9"/>
      <c r="I61" s="9"/>
      <c r="J61" s="9"/>
      <c r="K61" s="9"/>
      <c r="L61" s="9"/>
      <c r="M61" s="9"/>
      <c r="N61" s="9"/>
      <c r="O61" s="9"/>
      <c r="P61" s="9"/>
      <c r="Q61" s="9"/>
      <c r="R61" s="9"/>
      <c r="S61" s="9"/>
      <c r="T61" s="9"/>
    </row>
    <row r="62" customFormat="false" ht="15" hidden="false" customHeight="false" outlineLevel="0" collapsed="false">
      <c r="A62" s="9"/>
      <c r="B62" s="9"/>
      <c r="C62" s="9"/>
      <c r="D62" s="9"/>
      <c r="E62" s="9"/>
      <c r="F62" s="9"/>
      <c r="G62" s="9"/>
      <c r="H62" s="9"/>
      <c r="I62" s="9"/>
      <c r="J62" s="9"/>
      <c r="K62" s="9"/>
      <c r="L62" s="9"/>
      <c r="M62" s="9"/>
      <c r="N62" s="9"/>
      <c r="O62" s="9"/>
      <c r="P62" s="9"/>
      <c r="Q62" s="9"/>
      <c r="R62" s="9"/>
      <c r="S62" s="9"/>
      <c r="T62" s="9"/>
    </row>
    <row r="63" customFormat="false" ht="15" hidden="false" customHeight="false" outlineLevel="0" collapsed="false">
      <c r="A63" s="9"/>
      <c r="B63" s="9"/>
      <c r="C63" s="9"/>
      <c r="D63" s="9"/>
      <c r="E63" s="9"/>
      <c r="F63" s="9"/>
      <c r="G63" s="9"/>
      <c r="H63" s="9"/>
      <c r="I63" s="9"/>
      <c r="J63" s="9"/>
      <c r="K63" s="9"/>
      <c r="L63" s="9"/>
      <c r="M63" s="9"/>
      <c r="N63" s="9"/>
      <c r="O63" s="9"/>
      <c r="P63" s="9"/>
      <c r="Q63" s="9"/>
      <c r="R63" s="9"/>
      <c r="S63" s="9"/>
      <c r="T63" s="9"/>
    </row>
    <row r="64" customFormat="false" ht="15" hidden="false" customHeight="false" outlineLevel="0" collapsed="false">
      <c r="A64" s="9"/>
      <c r="B64" s="9"/>
      <c r="C64" s="9"/>
      <c r="D64" s="9"/>
      <c r="E64" s="9"/>
      <c r="F64" s="9"/>
      <c r="G64" s="9"/>
      <c r="H64" s="9"/>
      <c r="I64" s="9"/>
      <c r="J64" s="9"/>
      <c r="K64" s="9"/>
      <c r="L64" s="9"/>
      <c r="M64" s="9"/>
      <c r="N64" s="9"/>
      <c r="O64" s="9"/>
      <c r="P64" s="9"/>
      <c r="Q64" s="9"/>
      <c r="R64" s="9"/>
      <c r="S64" s="9"/>
      <c r="T64" s="9"/>
    </row>
    <row r="65" customFormat="false" ht="15" hidden="false" customHeight="false" outlineLevel="0" collapsed="false">
      <c r="A65" s="9"/>
      <c r="B65" s="9"/>
      <c r="C65" s="9"/>
      <c r="D65" s="9"/>
      <c r="E65" s="9"/>
      <c r="F65" s="9"/>
      <c r="G65" s="9"/>
      <c r="H65" s="9"/>
      <c r="I65" s="9"/>
      <c r="J65" s="9"/>
      <c r="K65" s="9"/>
      <c r="L65" s="9"/>
      <c r="M65" s="9"/>
      <c r="N65" s="9"/>
      <c r="O65" s="9"/>
      <c r="P65" s="9"/>
      <c r="Q65" s="9"/>
      <c r="R65" s="9"/>
      <c r="S65" s="9"/>
      <c r="T65" s="9"/>
    </row>
    <row r="66" customFormat="false" ht="15" hidden="false" customHeight="false" outlineLevel="0" collapsed="false">
      <c r="A66" s="9"/>
      <c r="B66" s="9"/>
      <c r="C66" s="9"/>
      <c r="D66" s="9"/>
      <c r="E66" s="9"/>
      <c r="F66" s="9"/>
      <c r="G66" s="9"/>
      <c r="H66" s="9"/>
      <c r="I66" s="9"/>
      <c r="J66" s="9"/>
      <c r="K66" s="9"/>
      <c r="L66" s="9"/>
      <c r="M66" s="9"/>
      <c r="N66" s="9"/>
      <c r="O66" s="9"/>
      <c r="P66" s="9"/>
      <c r="Q66" s="9"/>
      <c r="R66" s="9"/>
      <c r="S66" s="9"/>
      <c r="T66" s="9"/>
    </row>
    <row r="67" customFormat="false" ht="15" hidden="false" customHeight="false" outlineLevel="0" collapsed="false">
      <c r="A67" s="9"/>
      <c r="B67" s="9"/>
      <c r="C67" s="9"/>
      <c r="D67" s="9"/>
      <c r="E67" s="9"/>
      <c r="F67" s="9"/>
      <c r="G67" s="9"/>
      <c r="H67" s="9"/>
      <c r="I67" s="9"/>
      <c r="J67" s="9"/>
      <c r="K67" s="9"/>
      <c r="L67" s="9"/>
      <c r="M67" s="9"/>
      <c r="N67" s="9"/>
      <c r="O67" s="9"/>
      <c r="P67" s="9"/>
      <c r="Q67" s="9"/>
      <c r="R67" s="9"/>
      <c r="S67" s="9"/>
      <c r="T67" s="9"/>
    </row>
    <row r="68" customFormat="false" ht="15" hidden="false" customHeight="false" outlineLevel="0" collapsed="false">
      <c r="A68" s="9"/>
      <c r="B68" s="9"/>
      <c r="C68" s="9"/>
      <c r="D68" s="9"/>
      <c r="E68" s="9"/>
      <c r="F68" s="9"/>
      <c r="G68" s="9"/>
      <c r="H68" s="9"/>
      <c r="I68" s="9"/>
      <c r="J68" s="9"/>
      <c r="K68" s="9"/>
      <c r="L68" s="9"/>
      <c r="M68" s="9"/>
      <c r="N68" s="9"/>
      <c r="O68" s="9"/>
      <c r="P68" s="9"/>
      <c r="Q68" s="9"/>
      <c r="R68" s="9"/>
      <c r="S68" s="9"/>
      <c r="T68" s="9"/>
    </row>
    <row r="69" customFormat="false" ht="15" hidden="false" customHeight="false" outlineLevel="0" collapsed="false">
      <c r="A69" s="9"/>
      <c r="B69" s="9"/>
      <c r="C69" s="9"/>
      <c r="D69" s="9"/>
      <c r="E69" s="9"/>
      <c r="F69" s="9"/>
      <c r="G69" s="9"/>
      <c r="H69" s="9"/>
      <c r="I69" s="9"/>
      <c r="J69" s="9"/>
      <c r="K69" s="9"/>
      <c r="L69" s="9"/>
      <c r="M69" s="9"/>
      <c r="N69" s="9"/>
      <c r="O69" s="9"/>
      <c r="P69" s="9"/>
      <c r="Q69" s="9"/>
      <c r="R69" s="9"/>
      <c r="S69" s="9"/>
      <c r="T69" s="9"/>
    </row>
    <row r="70" customFormat="false" ht="15" hidden="false" customHeight="false" outlineLevel="0" collapsed="false">
      <c r="A70" s="9"/>
      <c r="B70" s="9"/>
      <c r="C70" s="9"/>
      <c r="D70" s="9"/>
      <c r="E70" s="9"/>
      <c r="F70" s="9"/>
      <c r="G70" s="9"/>
      <c r="H70" s="9"/>
      <c r="I70" s="9"/>
      <c r="J70" s="9"/>
      <c r="K70" s="9"/>
      <c r="L70" s="9"/>
      <c r="M70" s="9"/>
      <c r="N70" s="9"/>
      <c r="O70" s="9"/>
      <c r="P70" s="9"/>
      <c r="Q70" s="9"/>
      <c r="R70" s="9"/>
      <c r="S70" s="9"/>
      <c r="T70" s="9"/>
    </row>
    <row r="71" customFormat="false" ht="15" hidden="false" customHeight="false" outlineLevel="0" collapsed="false">
      <c r="A71" s="9"/>
      <c r="B71" s="9"/>
      <c r="C71" s="9"/>
      <c r="D71" s="9"/>
      <c r="E71" s="9"/>
      <c r="F71" s="9"/>
      <c r="G71" s="9"/>
      <c r="H71" s="9"/>
      <c r="I71" s="9"/>
      <c r="J71" s="9"/>
      <c r="K71" s="9"/>
      <c r="L71" s="9"/>
      <c r="M71" s="9"/>
      <c r="N71" s="9"/>
      <c r="O71" s="9"/>
      <c r="P71" s="9"/>
      <c r="Q71" s="9"/>
      <c r="R71" s="9"/>
      <c r="S71" s="9"/>
      <c r="T71" s="9"/>
    </row>
    <row r="72" customFormat="false" ht="15" hidden="false" customHeight="false" outlineLevel="0" collapsed="false">
      <c r="A72" s="9"/>
      <c r="B72" s="9"/>
      <c r="C72" s="9"/>
      <c r="D72" s="9"/>
      <c r="E72" s="9"/>
      <c r="F72" s="9"/>
      <c r="G72" s="9"/>
      <c r="H72" s="9"/>
      <c r="I72" s="9"/>
      <c r="J72" s="9"/>
      <c r="K72" s="9"/>
      <c r="L72" s="9"/>
      <c r="M72" s="9"/>
      <c r="N72" s="9"/>
      <c r="O72" s="9"/>
      <c r="P72" s="9"/>
      <c r="Q72" s="9"/>
      <c r="R72" s="9"/>
      <c r="S72" s="9"/>
      <c r="T72" s="9"/>
    </row>
    <row r="73" customFormat="false" ht="15" hidden="false" customHeight="false" outlineLevel="0" collapsed="false">
      <c r="A73" s="9"/>
      <c r="B73" s="9"/>
      <c r="C73" s="9"/>
      <c r="D73" s="9"/>
      <c r="E73" s="9"/>
      <c r="F73" s="9"/>
      <c r="G73" s="9"/>
      <c r="H73" s="9"/>
      <c r="I73" s="9"/>
      <c r="J73" s="9"/>
      <c r="K73" s="9"/>
      <c r="L73" s="9"/>
      <c r="M73" s="9"/>
      <c r="N73" s="9"/>
      <c r="O73" s="9"/>
      <c r="P73" s="9"/>
      <c r="Q73" s="9"/>
      <c r="R73" s="9"/>
      <c r="S73" s="9"/>
      <c r="T73" s="9"/>
    </row>
    <row r="74" customFormat="false" ht="15" hidden="false" customHeight="false" outlineLevel="0" collapsed="false">
      <c r="A74" s="9"/>
      <c r="B74" s="9"/>
      <c r="C74" s="9"/>
      <c r="D74" s="9"/>
      <c r="E74" s="9"/>
      <c r="F74" s="9"/>
      <c r="G74" s="9"/>
      <c r="H74" s="9"/>
      <c r="I74" s="9"/>
      <c r="J74" s="9"/>
      <c r="K74" s="9"/>
      <c r="L74" s="9"/>
      <c r="M74" s="9"/>
      <c r="N74" s="9"/>
      <c r="O74" s="9"/>
      <c r="P74" s="9"/>
      <c r="Q74" s="9"/>
      <c r="R74" s="9"/>
      <c r="S74" s="9"/>
      <c r="T74" s="9"/>
    </row>
    <row r="75" customFormat="false" ht="15" hidden="false" customHeight="false" outlineLevel="0" collapsed="false">
      <c r="A75" s="9"/>
      <c r="B75" s="9"/>
      <c r="C75" s="9"/>
      <c r="D75" s="9"/>
      <c r="E75" s="9"/>
      <c r="F75" s="9"/>
      <c r="G75" s="9"/>
      <c r="H75" s="9"/>
      <c r="I75" s="9"/>
      <c r="J75" s="9"/>
      <c r="K75" s="9"/>
      <c r="L75" s="9"/>
      <c r="M75" s="9"/>
      <c r="N75" s="9"/>
      <c r="O75" s="9"/>
      <c r="P75" s="9"/>
      <c r="Q75" s="9"/>
      <c r="R75" s="9"/>
      <c r="S75" s="9"/>
      <c r="T75" s="9"/>
    </row>
    <row r="76" customFormat="false" ht="15" hidden="false" customHeight="false" outlineLevel="0" collapsed="false">
      <c r="A76" s="9"/>
      <c r="B76" s="9"/>
      <c r="C76" s="9"/>
      <c r="D76" s="9"/>
      <c r="E76" s="9"/>
      <c r="F76" s="9"/>
      <c r="G76" s="9"/>
      <c r="H76" s="9"/>
      <c r="I76" s="9"/>
      <c r="J76" s="9"/>
      <c r="K76" s="9"/>
      <c r="L76" s="9"/>
      <c r="M76" s="9"/>
      <c r="N76" s="9"/>
      <c r="O76" s="9"/>
      <c r="P76" s="9"/>
      <c r="Q76" s="9"/>
      <c r="R76" s="9"/>
      <c r="S76" s="9"/>
      <c r="T76" s="9"/>
    </row>
    <row r="77" customFormat="false" ht="15" hidden="false" customHeight="false" outlineLevel="0" collapsed="false">
      <c r="A77" s="9"/>
      <c r="B77" s="9"/>
      <c r="C77" s="9"/>
      <c r="D77" s="9"/>
      <c r="E77" s="9"/>
      <c r="F77" s="9"/>
      <c r="G77" s="9"/>
      <c r="H77" s="9"/>
      <c r="I77" s="9"/>
      <c r="J77" s="9"/>
      <c r="K77" s="9"/>
      <c r="L77" s="9"/>
      <c r="M77" s="9"/>
      <c r="N77" s="9"/>
      <c r="O77" s="9"/>
      <c r="P77" s="9"/>
      <c r="Q77" s="9"/>
      <c r="R77" s="9"/>
      <c r="S77" s="9"/>
      <c r="T77" s="9"/>
    </row>
    <row r="78" customFormat="false" ht="15" hidden="false" customHeight="false" outlineLevel="0" collapsed="false">
      <c r="A78" s="9"/>
      <c r="B78" s="9"/>
      <c r="C78" s="9"/>
      <c r="D78" s="9"/>
      <c r="E78" s="9"/>
      <c r="F78" s="9"/>
      <c r="G78" s="9"/>
      <c r="H78" s="9"/>
      <c r="I78" s="9"/>
      <c r="J78" s="9"/>
      <c r="K78" s="9"/>
      <c r="L78" s="9"/>
      <c r="M78" s="9"/>
      <c r="N78" s="9"/>
      <c r="O78" s="9"/>
      <c r="P78" s="9"/>
      <c r="Q78" s="9"/>
      <c r="R78" s="9"/>
      <c r="S78" s="9"/>
      <c r="T78" s="9"/>
    </row>
    <row r="79" customFormat="false" ht="15" hidden="false" customHeight="false" outlineLevel="0" collapsed="false">
      <c r="A79" s="9"/>
      <c r="B79" s="9"/>
      <c r="C79" s="9"/>
      <c r="D79" s="9"/>
      <c r="E79" s="9"/>
      <c r="F79" s="9"/>
      <c r="G79" s="9"/>
      <c r="H79" s="9"/>
      <c r="I79" s="9"/>
      <c r="J79" s="9"/>
      <c r="K79" s="9"/>
      <c r="L79" s="9"/>
      <c r="M79" s="9"/>
      <c r="N79" s="9"/>
      <c r="O79" s="9"/>
      <c r="P79" s="9"/>
      <c r="Q79" s="9"/>
      <c r="R79" s="9"/>
      <c r="S79" s="9"/>
      <c r="T79" s="9"/>
    </row>
    <row r="80" customFormat="false" ht="15" hidden="false" customHeight="false" outlineLevel="0" collapsed="false">
      <c r="A80" s="9"/>
      <c r="B80" s="9"/>
      <c r="C80" s="9"/>
      <c r="D80" s="9"/>
      <c r="E80" s="9"/>
      <c r="F80" s="9"/>
      <c r="G80" s="9"/>
      <c r="H80" s="9"/>
      <c r="I80" s="9"/>
      <c r="J80" s="9"/>
      <c r="K80" s="9"/>
      <c r="L80" s="9"/>
      <c r="M80" s="9"/>
      <c r="N80" s="9"/>
      <c r="O80" s="9"/>
      <c r="P80" s="9"/>
      <c r="Q80" s="9"/>
      <c r="R80" s="9"/>
      <c r="S80" s="9"/>
      <c r="T80" s="9"/>
    </row>
    <row r="81" customFormat="false" ht="15" hidden="false" customHeight="false" outlineLevel="0" collapsed="false">
      <c r="A81" s="9"/>
      <c r="B81" s="9"/>
      <c r="C81" s="9"/>
      <c r="D81" s="9"/>
      <c r="E81" s="9"/>
      <c r="F81" s="9"/>
      <c r="G81" s="9"/>
      <c r="H81" s="9"/>
      <c r="I81" s="9"/>
      <c r="J81" s="9"/>
      <c r="K81" s="9"/>
      <c r="L81" s="9"/>
      <c r="M81" s="9"/>
      <c r="N81" s="9"/>
      <c r="O81" s="9"/>
      <c r="P81" s="9"/>
      <c r="Q81" s="9"/>
      <c r="R81" s="9"/>
      <c r="S81" s="9"/>
      <c r="T81" s="9"/>
    </row>
    <row r="82" customFormat="false" ht="15" hidden="false" customHeight="false" outlineLevel="0" collapsed="false">
      <c r="A82" s="9"/>
      <c r="B82" s="9"/>
      <c r="C82" s="9"/>
      <c r="D82" s="9"/>
      <c r="E82" s="9"/>
      <c r="F82" s="9"/>
      <c r="G82" s="9"/>
      <c r="H82" s="9"/>
      <c r="I82" s="9"/>
      <c r="J82" s="9"/>
      <c r="K82" s="9"/>
      <c r="L82" s="9"/>
      <c r="M82" s="9"/>
      <c r="N82" s="9"/>
      <c r="O82" s="9"/>
      <c r="P82" s="9"/>
      <c r="Q82" s="9"/>
      <c r="R82" s="9"/>
      <c r="S82" s="9"/>
      <c r="T82" s="9"/>
    </row>
    <row r="83" customFormat="false" ht="15" hidden="false" customHeight="false" outlineLevel="0" collapsed="false">
      <c r="A83" s="9"/>
      <c r="B83" s="9"/>
      <c r="C83" s="9"/>
      <c r="D83" s="9"/>
      <c r="E83" s="9"/>
      <c r="F83" s="9"/>
      <c r="G83" s="9"/>
      <c r="H83" s="9"/>
      <c r="I83" s="9"/>
      <c r="J83" s="9"/>
      <c r="K83" s="9"/>
      <c r="L83" s="9"/>
      <c r="M83" s="9"/>
      <c r="N83" s="9"/>
      <c r="O83" s="9"/>
      <c r="P83" s="9"/>
      <c r="Q83" s="9"/>
      <c r="R83" s="9"/>
      <c r="S83" s="9"/>
      <c r="T83" s="9"/>
    </row>
    <row r="84" customFormat="false" ht="15" hidden="false" customHeight="false" outlineLevel="0" collapsed="false">
      <c r="A84" s="9"/>
      <c r="B84" s="9"/>
      <c r="C84" s="9"/>
      <c r="D84" s="9"/>
      <c r="E84" s="9"/>
      <c r="F84" s="9"/>
      <c r="G84" s="9"/>
      <c r="H84" s="9"/>
      <c r="I84" s="9"/>
      <c r="J84" s="9"/>
      <c r="K84" s="9"/>
      <c r="L84" s="9"/>
      <c r="M84" s="9"/>
      <c r="N84" s="9"/>
      <c r="O84" s="9"/>
      <c r="P84" s="9"/>
      <c r="Q84" s="9"/>
      <c r="R84" s="9"/>
      <c r="S84" s="9"/>
      <c r="T84" s="9"/>
    </row>
    <row r="85" customFormat="false" ht="15" hidden="false" customHeight="false" outlineLevel="0" collapsed="false">
      <c r="A85" s="9"/>
      <c r="B85" s="9"/>
      <c r="C85" s="9"/>
      <c r="D85" s="9"/>
      <c r="E85" s="9"/>
      <c r="F85" s="9"/>
      <c r="G85" s="9"/>
      <c r="H85" s="9"/>
      <c r="I85" s="9"/>
      <c r="J85" s="9"/>
      <c r="K85" s="9"/>
      <c r="L85" s="9"/>
      <c r="M85" s="9"/>
      <c r="N85" s="9"/>
      <c r="O85" s="9"/>
      <c r="P85" s="9"/>
      <c r="Q85" s="9"/>
      <c r="R85" s="9"/>
      <c r="S85" s="9"/>
      <c r="T85" s="9"/>
    </row>
    <row r="86" customFormat="false" ht="15" hidden="false" customHeight="false" outlineLevel="0" collapsed="false">
      <c r="A86" s="9"/>
      <c r="B86" s="9"/>
      <c r="C86" s="9"/>
      <c r="D86" s="9"/>
      <c r="E86" s="9"/>
      <c r="F86" s="9"/>
      <c r="G86" s="9"/>
      <c r="H86" s="9"/>
      <c r="I86" s="9"/>
      <c r="J86" s="9"/>
      <c r="K86" s="9"/>
      <c r="L86" s="9"/>
      <c r="M86" s="9"/>
      <c r="N86" s="9"/>
      <c r="O86" s="9"/>
      <c r="P86" s="9"/>
      <c r="Q86" s="9"/>
      <c r="R86" s="9"/>
      <c r="S86" s="9"/>
      <c r="T86" s="9"/>
    </row>
    <row r="87" customFormat="false" ht="15" hidden="false" customHeight="false" outlineLevel="0" collapsed="false">
      <c r="A87" s="9"/>
      <c r="B87" s="9"/>
      <c r="C87" s="9"/>
      <c r="D87" s="9"/>
      <c r="E87" s="9"/>
      <c r="F87" s="9"/>
      <c r="G87" s="9"/>
      <c r="H87" s="9"/>
      <c r="I87" s="9"/>
      <c r="J87" s="9"/>
      <c r="K87" s="9"/>
      <c r="L87" s="9"/>
      <c r="M87" s="9"/>
      <c r="N87" s="9"/>
      <c r="O87" s="9"/>
      <c r="P87" s="9"/>
      <c r="Q87" s="9"/>
      <c r="R87" s="9"/>
      <c r="S87" s="9"/>
      <c r="T87" s="9"/>
    </row>
    <row r="88" customFormat="false" ht="15" hidden="false" customHeight="false" outlineLevel="0" collapsed="false">
      <c r="A88" s="9"/>
      <c r="B88" s="9"/>
      <c r="C88" s="9"/>
      <c r="D88" s="9"/>
      <c r="E88" s="9"/>
      <c r="F88" s="9"/>
      <c r="G88" s="9"/>
      <c r="H88" s="9"/>
      <c r="I88" s="9"/>
      <c r="J88" s="9"/>
      <c r="K88" s="9"/>
      <c r="L88" s="9"/>
      <c r="M88" s="9"/>
      <c r="N88" s="9"/>
      <c r="O88" s="9"/>
      <c r="P88" s="9"/>
      <c r="Q88" s="9"/>
      <c r="R88" s="9"/>
      <c r="S88" s="9"/>
      <c r="T88" s="9"/>
    </row>
    <row r="89" customFormat="false" ht="15" hidden="false" customHeight="false" outlineLevel="0" collapsed="false">
      <c r="A89" s="9"/>
      <c r="B89" s="9"/>
      <c r="C89" s="9"/>
      <c r="D89" s="9"/>
      <c r="E89" s="9"/>
      <c r="F89" s="9"/>
      <c r="G89" s="9"/>
      <c r="H89" s="9"/>
      <c r="I89" s="9"/>
      <c r="J89" s="9"/>
      <c r="K89" s="9"/>
      <c r="L89" s="9"/>
      <c r="M89" s="9"/>
      <c r="N89" s="9"/>
      <c r="O89" s="9"/>
      <c r="P89" s="9"/>
      <c r="Q89" s="9"/>
      <c r="R89" s="9"/>
      <c r="S89" s="9"/>
      <c r="T89" s="9"/>
    </row>
    <row r="90" customFormat="false" ht="15" hidden="false" customHeight="false" outlineLevel="0" collapsed="false">
      <c r="A90" s="9"/>
      <c r="B90" s="9"/>
      <c r="C90" s="9"/>
      <c r="D90" s="9"/>
      <c r="E90" s="9"/>
      <c r="F90" s="9"/>
      <c r="G90" s="9"/>
      <c r="H90" s="9"/>
      <c r="I90" s="9"/>
      <c r="J90" s="9"/>
      <c r="K90" s="9"/>
      <c r="L90" s="9"/>
      <c r="M90" s="9"/>
      <c r="N90" s="9"/>
      <c r="O90" s="9"/>
      <c r="P90" s="9"/>
      <c r="Q90" s="9"/>
      <c r="R90" s="9"/>
      <c r="S90" s="9"/>
      <c r="T90" s="9"/>
    </row>
    <row r="91" customFormat="false" ht="15" hidden="false" customHeight="false" outlineLevel="0" collapsed="false">
      <c r="A91" s="9"/>
      <c r="B91" s="9"/>
      <c r="C91" s="9"/>
      <c r="D91" s="9"/>
      <c r="E91" s="9"/>
      <c r="F91" s="9"/>
      <c r="G91" s="9"/>
      <c r="H91" s="9"/>
      <c r="I91" s="9"/>
      <c r="J91" s="9"/>
      <c r="K91" s="9"/>
      <c r="L91" s="9"/>
      <c r="M91" s="9"/>
      <c r="N91" s="9"/>
      <c r="O91" s="9"/>
      <c r="P91" s="9"/>
      <c r="Q91" s="9"/>
      <c r="R91" s="9"/>
      <c r="S91" s="9"/>
      <c r="T91" s="9"/>
    </row>
    <row r="92" customFormat="false" ht="15" hidden="false" customHeight="false" outlineLevel="0" collapsed="false">
      <c r="A92" s="9"/>
      <c r="B92" s="9"/>
      <c r="C92" s="9"/>
      <c r="D92" s="9"/>
      <c r="E92" s="9"/>
      <c r="F92" s="9"/>
      <c r="G92" s="9"/>
      <c r="H92" s="9"/>
      <c r="I92" s="9"/>
      <c r="J92" s="9"/>
      <c r="K92" s="9"/>
      <c r="L92" s="9"/>
      <c r="M92" s="9"/>
      <c r="N92" s="9"/>
      <c r="O92" s="9"/>
      <c r="P92" s="9"/>
      <c r="Q92" s="9"/>
      <c r="R92" s="9"/>
      <c r="S92" s="9"/>
      <c r="T92" s="9"/>
    </row>
    <row r="93" customFormat="false" ht="15" hidden="false" customHeight="false" outlineLevel="0" collapsed="false">
      <c r="A93" s="9"/>
      <c r="B93" s="9"/>
      <c r="C93" s="9"/>
      <c r="D93" s="9"/>
      <c r="E93" s="9"/>
      <c r="F93" s="9"/>
      <c r="G93" s="9"/>
      <c r="H93" s="9"/>
      <c r="I93" s="9"/>
      <c r="J93" s="9"/>
      <c r="K93" s="9"/>
      <c r="L93" s="9"/>
      <c r="M93" s="9"/>
      <c r="N93" s="9"/>
      <c r="O93" s="9"/>
      <c r="P93" s="9"/>
      <c r="Q93" s="9"/>
      <c r="R93" s="9"/>
      <c r="S93" s="9"/>
      <c r="T93" s="9"/>
    </row>
    <row r="94" customFormat="false" ht="15" hidden="false" customHeight="false" outlineLevel="0" collapsed="false">
      <c r="A94" s="9"/>
      <c r="B94" s="9"/>
      <c r="C94" s="9"/>
      <c r="D94" s="9"/>
      <c r="E94" s="9"/>
      <c r="F94" s="9"/>
      <c r="G94" s="9"/>
      <c r="H94" s="9"/>
      <c r="I94" s="9"/>
      <c r="J94" s="9"/>
      <c r="K94" s="9"/>
      <c r="L94" s="9"/>
      <c r="M94" s="9"/>
      <c r="N94" s="9"/>
      <c r="O94" s="9"/>
      <c r="P94" s="9"/>
      <c r="Q94" s="9"/>
      <c r="R94" s="9"/>
      <c r="S94" s="9"/>
      <c r="T94" s="9"/>
    </row>
    <row r="95" customFormat="false" ht="15" hidden="false" customHeight="false" outlineLevel="0" collapsed="false">
      <c r="A95" s="9"/>
      <c r="B95" s="9"/>
      <c r="C95" s="9"/>
      <c r="D95" s="9"/>
      <c r="E95" s="9"/>
      <c r="F95" s="9"/>
      <c r="G95" s="9"/>
      <c r="H95" s="9"/>
      <c r="I95" s="9"/>
      <c r="J95" s="9"/>
      <c r="K95" s="9"/>
      <c r="L95" s="9"/>
      <c r="M95" s="9"/>
      <c r="N95" s="9"/>
      <c r="O95" s="9"/>
      <c r="P95" s="9"/>
      <c r="Q95" s="9"/>
      <c r="R95" s="9"/>
      <c r="S95" s="9"/>
      <c r="T95" s="9"/>
    </row>
    <row r="96" customFormat="false" ht="15" hidden="false" customHeight="false" outlineLevel="0" collapsed="false">
      <c r="A96" s="9"/>
      <c r="B96" s="9"/>
      <c r="C96" s="9"/>
      <c r="D96" s="9"/>
      <c r="E96" s="9"/>
      <c r="F96" s="9"/>
      <c r="G96" s="9"/>
      <c r="H96" s="9"/>
      <c r="I96" s="9"/>
      <c r="J96" s="9"/>
      <c r="K96" s="9"/>
      <c r="L96" s="9"/>
      <c r="M96" s="9"/>
      <c r="N96" s="9"/>
      <c r="O96" s="9"/>
      <c r="P96" s="9"/>
      <c r="Q96" s="9"/>
      <c r="R96" s="9"/>
      <c r="S96" s="9"/>
      <c r="T96" s="9"/>
    </row>
    <row r="97" customFormat="false" ht="15" hidden="false" customHeight="false" outlineLevel="0" collapsed="false">
      <c r="A97" s="9"/>
      <c r="B97" s="9"/>
      <c r="C97" s="9"/>
      <c r="D97" s="9"/>
      <c r="E97" s="9"/>
      <c r="F97" s="9"/>
      <c r="G97" s="9"/>
      <c r="H97" s="9"/>
      <c r="I97" s="9"/>
      <c r="J97" s="9"/>
      <c r="K97" s="9"/>
      <c r="L97" s="9"/>
      <c r="M97" s="9"/>
      <c r="N97" s="9"/>
      <c r="O97" s="9"/>
      <c r="P97" s="9"/>
      <c r="Q97" s="9"/>
      <c r="R97" s="9"/>
      <c r="S97" s="9"/>
      <c r="T97" s="9"/>
    </row>
    <row r="98" customFormat="false" ht="15" hidden="false" customHeight="false" outlineLevel="0" collapsed="false">
      <c r="A98" s="9"/>
      <c r="B98" s="9"/>
      <c r="C98" s="9"/>
      <c r="D98" s="9"/>
      <c r="E98" s="9"/>
      <c r="F98" s="9"/>
      <c r="G98" s="9"/>
      <c r="H98" s="9"/>
      <c r="I98" s="9"/>
      <c r="J98" s="9"/>
      <c r="K98" s="9"/>
      <c r="L98" s="9"/>
      <c r="M98" s="9"/>
      <c r="N98" s="9"/>
      <c r="O98" s="9"/>
      <c r="P98" s="9"/>
      <c r="Q98" s="9"/>
      <c r="R98" s="9"/>
      <c r="S98" s="9"/>
      <c r="T98" s="9"/>
    </row>
    <row r="99" customFormat="false" ht="15" hidden="false" customHeight="false" outlineLevel="0" collapsed="false">
      <c r="A99" s="9"/>
      <c r="B99" s="9"/>
      <c r="C99" s="9"/>
      <c r="D99" s="9"/>
      <c r="E99" s="9"/>
      <c r="F99" s="9"/>
      <c r="G99" s="9"/>
      <c r="H99" s="9"/>
      <c r="I99" s="9"/>
      <c r="J99" s="9"/>
      <c r="K99" s="9"/>
      <c r="L99" s="9"/>
      <c r="M99" s="9"/>
      <c r="N99" s="9"/>
      <c r="O99" s="9"/>
      <c r="P99" s="9"/>
      <c r="Q99" s="9"/>
      <c r="R99" s="9"/>
      <c r="S99" s="9"/>
      <c r="T99" s="9"/>
    </row>
    <row r="100" customFormat="false" ht="15" hidden="false" customHeight="false" outlineLevel="0" collapsed="false">
      <c r="A100" s="9"/>
      <c r="B100" s="9"/>
      <c r="C100" s="9"/>
      <c r="D100" s="9"/>
      <c r="E100" s="9"/>
      <c r="F100" s="9"/>
      <c r="G100" s="9"/>
      <c r="H100" s="9"/>
      <c r="I100" s="9"/>
      <c r="J100" s="9"/>
      <c r="K100" s="9"/>
      <c r="L100" s="9"/>
      <c r="M100" s="9"/>
      <c r="N100" s="9"/>
      <c r="O100" s="9"/>
      <c r="P100" s="9"/>
      <c r="Q100" s="9"/>
      <c r="R100" s="9"/>
      <c r="S100" s="9"/>
      <c r="T100" s="9"/>
    </row>
    <row r="101" customFormat="false" ht="15" hidden="false" customHeight="false" outlineLevel="0" collapsed="false">
      <c r="A101" s="9"/>
      <c r="B101" s="9"/>
      <c r="C101" s="9"/>
      <c r="D101" s="9"/>
      <c r="E101" s="9"/>
      <c r="F101" s="9"/>
      <c r="G101" s="9"/>
      <c r="H101" s="9"/>
      <c r="I101" s="9"/>
      <c r="J101" s="9"/>
      <c r="K101" s="9"/>
      <c r="L101" s="9"/>
      <c r="M101" s="9"/>
      <c r="N101" s="9"/>
      <c r="O101" s="9"/>
      <c r="P101" s="9"/>
      <c r="Q101" s="9"/>
      <c r="R101" s="9"/>
      <c r="S101" s="9"/>
      <c r="T101" s="9"/>
    </row>
    <row r="102" customFormat="false" ht="15" hidden="false" customHeight="false" outlineLevel="0" collapsed="false">
      <c r="A102" s="9"/>
      <c r="B102" s="9"/>
      <c r="C102" s="9"/>
      <c r="D102" s="9"/>
      <c r="E102" s="9"/>
      <c r="F102" s="9"/>
      <c r="G102" s="9"/>
      <c r="H102" s="9"/>
      <c r="I102" s="9"/>
      <c r="J102" s="9"/>
      <c r="K102" s="9"/>
      <c r="L102" s="9"/>
      <c r="M102" s="9"/>
      <c r="N102" s="9"/>
      <c r="O102" s="9"/>
      <c r="P102" s="9"/>
      <c r="Q102" s="9"/>
      <c r="R102" s="9"/>
      <c r="S102" s="9"/>
      <c r="T102" s="9"/>
    </row>
    <row r="103" customFormat="false" ht="15" hidden="false" customHeight="false" outlineLevel="0" collapsed="false">
      <c r="A103" s="9"/>
      <c r="B103" s="9"/>
      <c r="C103" s="9"/>
      <c r="D103" s="9"/>
      <c r="E103" s="9"/>
      <c r="F103" s="9"/>
      <c r="G103" s="9"/>
      <c r="H103" s="9"/>
      <c r="I103" s="9"/>
      <c r="J103" s="9"/>
      <c r="K103" s="9"/>
      <c r="L103" s="9"/>
      <c r="M103" s="9"/>
      <c r="N103" s="9"/>
      <c r="O103" s="9"/>
      <c r="P103" s="9"/>
      <c r="Q103" s="9"/>
      <c r="R103" s="9"/>
      <c r="S103" s="9"/>
      <c r="T103" s="9"/>
    </row>
    <row r="104" customFormat="false" ht="15" hidden="false" customHeight="false" outlineLevel="0" collapsed="false">
      <c r="A104" s="9"/>
      <c r="B104" s="9"/>
      <c r="C104" s="9"/>
      <c r="D104" s="9"/>
      <c r="E104" s="9"/>
      <c r="F104" s="9"/>
      <c r="G104" s="9"/>
      <c r="H104" s="9"/>
      <c r="I104" s="9"/>
      <c r="J104" s="9"/>
      <c r="K104" s="9"/>
      <c r="L104" s="9"/>
      <c r="M104" s="9"/>
      <c r="N104" s="9"/>
      <c r="O104" s="9"/>
      <c r="P104" s="9"/>
      <c r="Q104" s="9"/>
      <c r="R104" s="9"/>
      <c r="S104" s="9"/>
      <c r="T104" s="9"/>
    </row>
    <row r="105" customFormat="false" ht="15" hidden="false" customHeight="false" outlineLevel="0" collapsed="false">
      <c r="A105" s="9"/>
      <c r="B105" s="9"/>
      <c r="C105" s="9"/>
      <c r="D105" s="9"/>
      <c r="E105" s="9"/>
      <c r="F105" s="9"/>
      <c r="G105" s="9"/>
      <c r="H105" s="9"/>
      <c r="I105" s="9"/>
      <c r="J105" s="9"/>
      <c r="K105" s="9"/>
      <c r="L105" s="9"/>
      <c r="M105" s="9"/>
      <c r="N105" s="9"/>
      <c r="O105" s="9"/>
      <c r="P105" s="9"/>
      <c r="Q105" s="9"/>
      <c r="R105" s="9"/>
      <c r="S105" s="9"/>
      <c r="T105" s="9"/>
    </row>
    <row r="106" customFormat="false" ht="15" hidden="false" customHeight="false" outlineLevel="0" collapsed="false">
      <c r="A106" s="9"/>
      <c r="B106" s="9"/>
      <c r="C106" s="9"/>
      <c r="D106" s="9"/>
      <c r="E106" s="9"/>
      <c r="F106" s="9"/>
      <c r="G106" s="9"/>
      <c r="H106" s="9"/>
      <c r="I106" s="9"/>
      <c r="J106" s="9"/>
      <c r="K106" s="9"/>
      <c r="L106" s="9"/>
      <c r="M106" s="9"/>
      <c r="N106" s="9"/>
      <c r="O106" s="9"/>
      <c r="P106" s="9"/>
      <c r="Q106" s="9"/>
      <c r="R106" s="9"/>
      <c r="S106" s="9"/>
      <c r="T106" s="9"/>
    </row>
    <row r="107" customFormat="false" ht="15" hidden="false" customHeight="false" outlineLevel="0" collapsed="false">
      <c r="A107" s="9"/>
      <c r="B107" s="9"/>
      <c r="C107" s="9"/>
      <c r="D107" s="9"/>
      <c r="E107" s="9"/>
      <c r="F107" s="9"/>
      <c r="G107" s="9"/>
      <c r="H107" s="9"/>
      <c r="I107" s="9"/>
      <c r="J107" s="9"/>
      <c r="K107" s="9"/>
      <c r="L107" s="9"/>
      <c r="M107" s="9"/>
      <c r="N107" s="9"/>
      <c r="O107" s="9"/>
      <c r="P107" s="9"/>
      <c r="Q107" s="9"/>
      <c r="R107" s="9"/>
      <c r="S107" s="9"/>
      <c r="T107" s="9"/>
    </row>
    <row r="108" customFormat="false" ht="15" hidden="false" customHeight="false" outlineLevel="0" collapsed="false">
      <c r="A108" s="9"/>
      <c r="B108" s="9"/>
      <c r="C108" s="9"/>
      <c r="D108" s="9"/>
      <c r="E108" s="9"/>
      <c r="F108" s="9"/>
      <c r="G108" s="9"/>
      <c r="H108" s="9"/>
      <c r="I108" s="9"/>
      <c r="J108" s="9"/>
      <c r="K108" s="9"/>
      <c r="L108" s="9"/>
      <c r="M108" s="9"/>
      <c r="N108" s="9"/>
      <c r="O108" s="9"/>
      <c r="P108" s="9"/>
      <c r="Q108" s="9"/>
      <c r="R108" s="9"/>
      <c r="S108" s="9"/>
      <c r="T108" s="9"/>
    </row>
    <row r="109" customFormat="false" ht="15" hidden="false" customHeight="false" outlineLevel="0" collapsed="false">
      <c r="A109" s="9"/>
      <c r="B109" s="9"/>
      <c r="C109" s="9"/>
      <c r="D109" s="9"/>
      <c r="E109" s="9"/>
      <c r="F109" s="9"/>
      <c r="G109" s="9"/>
      <c r="H109" s="9"/>
      <c r="I109" s="9"/>
      <c r="J109" s="9"/>
      <c r="K109" s="9"/>
      <c r="L109" s="9"/>
      <c r="M109" s="9"/>
      <c r="N109" s="9"/>
      <c r="O109" s="9"/>
      <c r="P109" s="9"/>
      <c r="Q109" s="9"/>
      <c r="R109" s="9"/>
      <c r="S109" s="9"/>
      <c r="T109" s="9"/>
    </row>
    <row r="110" customFormat="false" ht="15" hidden="false" customHeight="false" outlineLevel="0" collapsed="false">
      <c r="A110" s="9"/>
      <c r="B110" s="9"/>
      <c r="C110" s="9"/>
      <c r="D110" s="9"/>
      <c r="E110" s="9"/>
      <c r="F110" s="9"/>
      <c r="G110" s="9"/>
      <c r="H110" s="9"/>
      <c r="I110" s="9"/>
      <c r="J110" s="9"/>
      <c r="K110" s="9"/>
      <c r="L110" s="9"/>
      <c r="M110" s="9"/>
      <c r="N110" s="9"/>
      <c r="O110" s="9"/>
      <c r="P110" s="9"/>
      <c r="Q110" s="9"/>
      <c r="R110" s="9"/>
      <c r="S110" s="9"/>
      <c r="T110" s="9"/>
    </row>
    <row r="111" customFormat="false" ht="15" hidden="false" customHeight="false" outlineLevel="0" collapsed="false">
      <c r="A111" s="9"/>
      <c r="B111" s="9"/>
      <c r="C111" s="9"/>
      <c r="D111" s="9"/>
      <c r="E111" s="9"/>
      <c r="F111" s="9"/>
      <c r="G111" s="9"/>
      <c r="H111" s="9"/>
      <c r="I111" s="9"/>
      <c r="J111" s="9"/>
      <c r="K111" s="9"/>
      <c r="L111" s="9"/>
      <c r="M111" s="9"/>
      <c r="N111" s="9"/>
      <c r="O111" s="9"/>
      <c r="P111" s="9"/>
      <c r="Q111" s="9"/>
      <c r="R111" s="9"/>
      <c r="S111" s="9"/>
      <c r="T111" s="9"/>
    </row>
    <row r="112" customFormat="false" ht="15" hidden="false" customHeight="false" outlineLevel="0" collapsed="false">
      <c r="A112" s="9"/>
      <c r="B112" s="9"/>
      <c r="C112" s="9"/>
      <c r="D112" s="9"/>
      <c r="E112" s="9"/>
      <c r="F112" s="9"/>
      <c r="G112" s="9"/>
      <c r="H112" s="9"/>
      <c r="I112" s="9"/>
      <c r="J112" s="9"/>
      <c r="K112" s="9"/>
      <c r="L112" s="9"/>
      <c r="M112" s="9"/>
      <c r="N112" s="9"/>
      <c r="O112" s="9"/>
      <c r="P112" s="9"/>
      <c r="Q112" s="9"/>
      <c r="R112" s="9"/>
      <c r="S112" s="9"/>
      <c r="T112" s="9"/>
    </row>
    <row r="113" customFormat="false" ht="15" hidden="false" customHeight="false" outlineLevel="0" collapsed="false">
      <c r="A113" s="9"/>
      <c r="B113" s="9"/>
      <c r="C113" s="9"/>
      <c r="D113" s="9"/>
      <c r="E113" s="9"/>
      <c r="F113" s="9"/>
      <c r="G113" s="9"/>
      <c r="H113" s="9"/>
      <c r="I113" s="9"/>
      <c r="J113" s="9"/>
      <c r="K113" s="9"/>
      <c r="L113" s="9"/>
      <c r="M113" s="9"/>
      <c r="N113" s="9"/>
      <c r="O113" s="9"/>
      <c r="P113" s="9"/>
      <c r="Q113" s="9"/>
      <c r="R113" s="9"/>
      <c r="S113" s="9"/>
      <c r="T113" s="9"/>
    </row>
    <row r="114" customFormat="false" ht="15" hidden="false" customHeight="false" outlineLevel="0" collapsed="false">
      <c r="A114" s="9"/>
      <c r="B114" s="9"/>
      <c r="C114" s="9"/>
      <c r="D114" s="9"/>
      <c r="E114" s="9"/>
      <c r="F114" s="9"/>
      <c r="G114" s="9"/>
      <c r="H114" s="9"/>
      <c r="I114" s="9"/>
      <c r="J114" s="9"/>
      <c r="K114" s="9"/>
      <c r="L114" s="9"/>
      <c r="M114" s="9"/>
      <c r="N114" s="9"/>
      <c r="O114" s="9"/>
      <c r="P114" s="9"/>
      <c r="Q114" s="9"/>
      <c r="R114" s="9"/>
      <c r="S114" s="9"/>
      <c r="T114" s="9"/>
    </row>
    <row r="115" customFormat="false" ht="15" hidden="false" customHeight="false" outlineLevel="0" collapsed="false">
      <c r="A115" s="9"/>
      <c r="B115" s="9"/>
      <c r="C115" s="9"/>
      <c r="D115" s="9"/>
      <c r="E115" s="9"/>
      <c r="F115" s="9"/>
      <c r="G115" s="9"/>
      <c r="H115" s="9"/>
      <c r="I115" s="9"/>
      <c r="J115" s="9"/>
      <c r="K115" s="9"/>
      <c r="L115" s="9"/>
      <c r="M115" s="9"/>
      <c r="N115" s="9"/>
      <c r="O115" s="9"/>
      <c r="P115" s="9"/>
      <c r="Q115" s="9"/>
      <c r="R115" s="9"/>
      <c r="S115" s="9"/>
      <c r="T115" s="9"/>
    </row>
    <row r="116" customFormat="false" ht="15" hidden="false" customHeight="false" outlineLevel="0" collapsed="false">
      <c r="A116" s="9"/>
      <c r="B116" s="9"/>
      <c r="C116" s="9"/>
      <c r="D116" s="9"/>
      <c r="E116" s="9"/>
      <c r="F116" s="9"/>
      <c r="G116" s="9"/>
      <c r="H116" s="9"/>
      <c r="I116" s="9"/>
      <c r="J116" s="9"/>
      <c r="K116" s="9"/>
      <c r="L116" s="9"/>
      <c r="M116" s="9"/>
      <c r="N116" s="9"/>
      <c r="O116" s="9"/>
      <c r="P116" s="9"/>
      <c r="Q116" s="9"/>
      <c r="R116" s="9"/>
      <c r="S116" s="9"/>
      <c r="T116" s="9"/>
    </row>
    <row r="117" customFormat="false" ht="15" hidden="false" customHeight="false" outlineLevel="0" collapsed="false">
      <c r="A117" s="9"/>
      <c r="B117" s="9"/>
      <c r="C117" s="9"/>
      <c r="D117" s="9"/>
      <c r="E117" s="9"/>
      <c r="F117" s="9"/>
      <c r="G117" s="9"/>
      <c r="H117" s="9"/>
      <c r="I117" s="9"/>
      <c r="J117" s="9"/>
      <c r="K117" s="9"/>
      <c r="L117" s="9"/>
      <c r="M117" s="9"/>
      <c r="N117" s="9"/>
      <c r="O117" s="9"/>
      <c r="P117" s="9"/>
      <c r="Q117" s="9"/>
      <c r="R117" s="9"/>
      <c r="S117" s="9"/>
      <c r="T117" s="9"/>
    </row>
    <row r="118" customFormat="false" ht="15" hidden="false" customHeight="false" outlineLevel="0" collapsed="false">
      <c r="A118" s="9"/>
      <c r="B118" s="9"/>
      <c r="C118" s="9"/>
      <c r="D118" s="9"/>
      <c r="E118" s="9"/>
      <c r="F118" s="9"/>
      <c r="G118" s="9"/>
      <c r="H118" s="9"/>
      <c r="I118" s="9"/>
      <c r="J118" s="9"/>
      <c r="K118" s="9"/>
      <c r="L118" s="9"/>
      <c r="M118" s="9"/>
      <c r="N118" s="9"/>
      <c r="O118" s="9"/>
      <c r="P118" s="9"/>
      <c r="Q118" s="9"/>
      <c r="R118" s="9"/>
      <c r="S118" s="9"/>
      <c r="T118" s="9"/>
    </row>
    <row r="119" customFormat="false" ht="15" hidden="false" customHeight="false" outlineLevel="0" collapsed="false">
      <c r="A119" s="9"/>
      <c r="B119" s="9"/>
      <c r="C119" s="9"/>
      <c r="D119" s="9"/>
      <c r="E119" s="9"/>
      <c r="F119" s="9"/>
      <c r="G119" s="9"/>
      <c r="H119" s="9"/>
      <c r="I119" s="9"/>
      <c r="J119" s="9"/>
      <c r="K119" s="9"/>
      <c r="L119" s="9"/>
      <c r="M119" s="9"/>
      <c r="N119" s="9"/>
      <c r="O119" s="9"/>
      <c r="P119" s="9"/>
      <c r="Q119" s="9"/>
      <c r="R119" s="9"/>
      <c r="S119" s="9"/>
      <c r="T119" s="9"/>
    </row>
    <row r="120" customFormat="false" ht="15" hidden="false" customHeight="false" outlineLevel="0" collapsed="false">
      <c r="A120" s="9"/>
      <c r="B120" s="9"/>
      <c r="C120" s="9"/>
      <c r="D120" s="9"/>
      <c r="E120" s="9"/>
      <c r="F120" s="9"/>
      <c r="G120" s="9"/>
      <c r="H120" s="9"/>
      <c r="I120" s="9"/>
      <c r="J120" s="9"/>
      <c r="K120" s="9"/>
      <c r="L120" s="9"/>
      <c r="M120" s="9"/>
      <c r="N120" s="9"/>
      <c r="O120" s="9"/>
      <c r="P120" s="9"/>
      <c r="Q120" s="9"/>
      <c r="R120" s="9"/>
      <c r="S120" s="9"/>
      <c r="T120" s="9"/>
    </row>
    <row r="121" customFormat="false" ht="15" hidden="false" customHeight="false" outlineLevel="0" collapsed="false">
      <c r="A121" s="9"/>
      <c r="B121" s="9"/>
      <c r="C121" s="9"/>
      <c r="D121" s="9"/>
      <c r="E121" s="9"/>
      <c r="F121" s="9"/>
      <c r="G121" s="9"/>
      <c r="H121" s="9"/>
      <c r="I121" s="9"/>
      <c r="J121" s="9"/>
      <c r="K121" s="9"/>
      <c r="L121" s="9"/>
      <c r="M121" s="9"/>
      <c r="N121" s="9"/>
      <c r="O121" s="9"/>
      <c r="P121" s="9"/>
      <c r="Q121" s="9"/>
      <c r="R121" s="9"/>
      <c r="S121" s="9"/>
      <c r="T121" s="9"/>
    </row>
    <row r="122" customFormat="false" ht="15" hidden="false" customHeight="false" outlineLevel="0" collapsed="false">
      <c r="A122" s="9"/>
      <c r="B122" s="9"/>
      <c r="C122" s="9"/>
      <c r="D122" s="9"/>
      <c r="E122" s="9"/>
      <c r="F122" s="9"/>
      <c r="G122" s="9"/>
      <c r="H122" s="9"/>
      <c r="I122" s="9"/>
      <c r="J122" s="9"/>
      <c r="K122" s="9"/>
      <c r="L122" s="9"/>
      <c r="M122" s="9"/>
      <c r="N122" s="9"/>
      <c r="O122" s="9"/>
      <c r="P122" s="9"/>
      <c r="Q122" s="9"/>
      <c r="R122" s="9"/>
      <c r="S122" s="9"/>
      <c r="T122" s="9"/>
    </row>
    <row r="123" customFormat="false" ht="15" hidden="false" customHeight="false" outlineLevel="0" collapsed="false">
      <c r="A123" s="9"/>
      <c r="B123" s="9"/>
      <c r="C123" s="9"/>
      <c r="D123" s="9"/>
      <c r="E123" s="9"/>
      <c r="F123" s="9"/>
      <c r="G123" s="9"/>
      <c r="H123" s="9"/>
      <c r="I123" s="9"/>
      <c r="J123" s="9"/>
      <c r="K123" s="9"/>
      <c r="L123" s="9"/>
      <c r="M123" s="9"/>
      <c r="N123" s="9"/>
      <c r="O123" s="9"/>
      <c r="P123" s="9"/>
      <c r="Q123" s="9"/>
      <c r="R123" s="9"/>
      <c r="S123" s="9"/>
      <c r="T123" s="9"/>
    </row>
    <row r="124" customFormat="false" ht="15" hidden="false" customHeight="false" outlineLevel="0" collapsed="false">
      <c r="A124" s="9"/>
      <c r="B124" s="9"/>
      <c r="C124" s="9"/>
      <c r="D124" s="9"/>
      <c r="E124" s="9"/>
      <c r="F124" s="9"/>
      <c r="G124" s="9"/>
      <c r="H124" s="9"/>
      <c r="I124" s="9"/>
      <c r="J124" s="9"/>
      <c r="K124" s="9"/>
      <c r="L124" s="9"/>
      <c r="M124" s="9"/>
      <c r="N124" s="9"/>
      <c r="O124" s="9"/>
      <c r="P124" s="9"/>
      <c r="Q124" s="9"/>
      <c r="R124" s="9"/>
      <c r="S124" s="9"/>
      <c r="T124" s="9"/>
    </row>
    <row r="125" customFormat="false" ht="15" hidden="false" customHeight="false" outlineLevel="0" collapsed="false">
      <c r="A125" s="9"/>
      <c r="B125" s="9"/>
      <c r="C125" s="9"/>
      <c r="D125" s="9"/>
      <c r="E125" s="9"/>
      <c r="F125" s="9"/>
      <c r="G125" s="9"/>
      <c r="H125" s="9"/>
      <c r="I125" s="9"/>
      <c r="J125" s="9"/>
      <c r="K125" s="9"/>
      <c r="L125" s="9"/>
      <c r="M125" s="9"/>
      <c r="N125" s="9"/>
      <c r="O125" s="9"/>
      <c r="P125" s="9"/>
      <c r="Q125" s="9"/>
      <c r="R125" s="9"/>
      <c r="S125" s="9"/>
      <c r="T125" s="9"/>
    </row>
    <row r="126" customFormat="false" ht="15" hidden="false" customHeight="false" outlineLevel="0" collapsed="false">
      <c r="A126" s="9"/>
      <c r="B126" s="9"/>
      <c r="C126" s="9"/>
      <c r="D126" s="9"/>
      <c r="E126" s="9"/>
      <c r="F126" s="9"/>
      <c r="G126" s="9"/>
      <c r="H126" s="9"/>
      <c r="I126" s="9"/>
      <c r="J126" s="9"/>
      <c r="K126" s="9"/>
      <c r="L126" s="9"/>
      <c r="M126" s="9"/>
      <c r="N126" s="9"/>
      <c r="O126" s="9"/>
      <c r="P126" s="9"/>
      <c r="Q126" s="9"/>
      <c r="R126" s="9"/>
      <c r="S126" s="9"/>
      <c r="T126" s="9"/>
    </row>
    <row r="127" customFormat="false" ht="15" hidden="false" customHeight="false" outlineLevel="0" collapsed="false">
      <c r="A127" s="9"/>
      <c r="B127" s="9"/>
      <c r="C127" s="9"/>
      <c r="D127" s="9"/>
      <c r="E127" s="9"/>
      <c r="F127" s="9"/>
      <c r="G127" s="9"/>
      <c r="H127" s="9"/>
      <c r="I127" s="9"/>
      <c r="J127" s="9"/>
      <c r="K127" s="9"/>
      <c r="L127" s="9"/>
      <c r="M127" s="9"/>
      <c r="N127" s="9"/>
      <c r="O127" s="9"/>
      <c r="P127" s="9"/>
      <c r="Q127" s="9"/>
      <c r="R127" s="9"/>
      <c r="S127" s="9"/>
      <c r="T127" s="9"/>
    </row>
    <row r="128" customFormat="false" ht="15" hidden="false" customHeight="false" outlineLevel="0" collapsed="false">
      <c r="A128" s="9"/>
      <c r="B128" s="9"/>
      <c r="C128" s="9"/>
      <c r="D128" s="9"/>
      <c r="E128" s="9"/>
      <c r="F128" s="9"/>
      <c r="G128" s="9"/>
      <c r="H128" s="9"/>
      <c r="I128" s="9"/>
      <c r="J128" s="9"/>
      <c r="K128" s="9"/>
      <c r="L128" s="9"/>
      <c r="M128" s="9"/>
      <c r="N128" s="9"/>
      <c r="O128" s="9"/>
      <c r="P128" s="9"/>
      <c r="Q128" s="9"/>
      <c r="R128" s="9"/>
      <c r="S128" s="9"/>
      <c r="T128" s="9"/>
    </row>
    <row r="129" customFormat="false" ht="15" hidden="false" customHeight="false" outlineLevel="0" collapsed="false">
      <c r="A129" s="9"/>
      <c r="B129" s="9"/>
      <c r="C129" s="9"/>
      <c r="D129" s="9"/>
      <c r="E129" s="9"/>
      <c r="F129" s="9"/>
      <c r="G129" s="9"/>
      <c r="H129" s="9"/>
      <c r="I129" s="9"/>
      <c r="J129" s="9"/>
      <c r="K129" s="9"/>
      <c r="L129" s="9"/>
      <c r="M129" s="9"/>
      <c r="N129" s="9"/>
      <c r="O129" s="9"/>
      <c r="P129" s="9"/>
      <c r="Q129" s="9"/>
      <c r="R129" s="9"/>
      <c r="S129" s="9"/>
      <c r="T129" s="9"/>
    </row>
    <row r="130" customFormat="false" ht="15" hidden="false" customHeight="false" outlineLevel="0" collapsed="false">
      <c r="A130" s="9"/>
      <c r="B130" s="9"/>
      <c r="C130" s="9"/>
      <c r="D130" s="9"/>
      <c r="E130" s="9"/>
      <c r="F130" s="9"/>
      <c r="G130" s="9"/>
      <c r="H130" s="9"/>
      <c r="I130" s="9"/>
      <c r="J130" s="9"/>
      <c r="K130" s="9"/>
      <c r="L130" s="9"/>
      <c r="M130" s="9"/>
      <c r="N130" s="9"/>
      <c r="O130" s="9"/>
      <c r="P130" s="9"/>
      <c r="Q130" s="9"/>
      <c r="R130" s="9"/>
      <c r="S130" s="9"/>
      <c r="T130" s="9"/>
    </row>
    <row r="131" customFormat="false" ht="15" hidden="false" customHeight="false" outlineLevel="0" collapsed="false">
      <c r="A131" s="9"/>
      <c r="B131" s="9"/>
      <c r="C131" s="9"/>
      <c r="D131" s="9"/>
      <c r="E131" s="9"/>
      <c r="F131" s="9"/>
      <c r="G131" s="9"/>
      <c r="H131" s="9"/>
      <c r="I131" s="9"/>
      <c r="J131" s="9"/>
      <c r="K131" s="9"/>
      <c r="L131" s="9"/>
      <c r="M131" s="9"/>
      <c r="N131" s="9"/>
      <c r="O131" s="9"/>
      <c r="P131" s="9"/>
      <c r="Q131" s="9"/>
      <c r="R131" s="9"/>
      <c r="S131" s="9"/>
      <c r="T131" s="9"/>
    </row>
    <row r="132" customFormat="false" ht="15" hidden="false" customHeight="false" outlineLevel="0" collapsed="false">
      <c r="A132" s="9"/>
      <c r="B132" s="9"/>
      <c r="C132" s="9"/>
      <c r="D132" s="9"/>
      <c r="E132" s="9"/>
      <c r="F132" s="9"/>
      <c r="G132" s="9"/>
      <c r="H132" s="9"/>
      <c r="I132" s="9"/>
      <c r="J132" s="9"/>
      <c r="K132" s="9"/>
      <c r="L132" s="9"/>
      <c r="M132" s="9"/>
      <c r="N132" s="9"/>
      <c r="O132" s="9"/>
      <c r="P132" s="9"/>
      <c r="Q132" s="9"/>
      <c r="R132" s="9"/>
      <c r="S132" s="9"/>
      <c r="T132" s="9"/>
    </row>
    <row r="133" customFormat="false" ht="15" hidden="false" customHeight="false" outlineLevel="0" collapsed="false">
      <c r="A133" s="9"/>
      <c r="B133" s="9"/>
      <c r="C133" s="9"/>
      <c r="D133" s="9"/>
      <c r="E133" s="9"/>
      <c r="F133" s="9"/>
      <c r="G133" s="9"/>
      <c r="H133" s="9"/>
      <c r="I133" s="9"/>
      <c r="J133" s="9"/>
      <c r="K133" s="9"/>
      <c r="L133" s="9"/>
      <c r="M133" s="9"/>
      <c r="N133" s="9"/>
      <c r="O133" s="9"/>
      <c r="P133" s="9"/>
      <c r="Q133" s="9"/>
      <c r="R133" s="9"/>
      <c r="S133" s="9"/>
      <c r="T133" s="9"/>
    </row>
    <row r="134" customFormat="false" ht="15" hidden="false" customHeight="false" outlineLevel="0" collapsed="false">
      <c r="A134" s="9"/>
      <c r="B134" s="9"/>
      <c r="C134" s="9"/>
      <c r="D134" s="9"/>
      <c r="E134" s="9"/>
      <c r="F134" s="9"/>
      <c r="G134" s="9"/>
      <c r="H134" s="9"/>
      <c r="I134" s="9"/>
      <c r="J134" s="9"/>
      <c r="K134" s="9"/>
      <c r="L134" s="9"/>
      <c r="M134" s="9"/>
      <c r="N134" s="9"/>
      <c r="O134" s="9"/>
      <c r="P134" s="9"/>
      <c r="Q134" s="9"/>
      <c r="R134" s="9"/>
      <c r="S134" s="9"/>
      <c r="T134" s="9"/>
    </row>
    <row r="135" customFormat="false" ht="15" hidden="false" customHeight="false" outlineLevel="0" collapsed="false">
      <c r="A135" s="9"/>
      <c r="B135" s="9"/>
      <c r="C135" s="9"/>
      <c r="D135" s="9"/>
      <c r="E135" s="9"/>
      <c r="F135" s="9"/>
      <c r="G135" s="9"/>
      <c r="H135" s="9"/>
      <c r="I135" s="9"/>
      <c r="J135" s="9"/>
      <c r="K135" s="9"/>
      <c r="L135" s="9"/>
      <c r="M135" s="9"/>
      <c r="N135" s="9"/>
      <c r="O135" s="9"/>
      <c r="P135" s="9"/>
      <c r="Q135" s="9"/>
      <c r="R135" s="9"/>
      <c r="S135" s="9"/>
      <c r="T135" s="9"/>
    </row>
    <row r="136" customFormat="false" ht="15" hidden="false" customHeight="false" outlineLevel="0" collapsed="false">
      <c r="A136" s="9"/>
      <c r="B136" s="9"/>
      <c r="C136" s="9"/>
      <c r="D136" s="9"/>
      <c r="E136" s="9"/>
      <c r="F136" s="9"/>
      <c r="G136" s="9"/>
      <c r="H136" s="9"/>
      <c r="I136" s="9"/>
      <c r="J136" s="9"/>
      <c r="K136" s="9"/>
      <c r="L136" s="9"/>
      <c r="M136" s="9"/>
      <c r="N136" s="9"/>
      <c r="O136" s="9"/>
      <c r="P136" s="9"/>
      <c r="Q136" s="9"/>
      <c r="R136" s="9"/>
      <c r="S136" s="9"/>
      <c r="T136" s="9"/>
    </row>
    <row r="137" customFormat="false" ht="15" hidden="false" customHeight="false" outlineLevel="0" collapsed="false">
      <c r="A137" s="9"/>
      <c r="B137" s="9"/>
      <c r="C137" s="9"/>
      <c r="D137" s="9"/>
      <c r="E137" s="9"/>
      <c r="F137" s="9"/>
      <c r="G137" s="9"/>
      <c r="H137" s="9"/>
      <c r="I137" s="9"/>
      <c r="J137" s="9"/>
      <c r="K137" s="9"/>
      <c r="L137" s="9"/>
      <c r="M137" s="9"/>
      <c r="N137" s="9"/>
      <c r="O137" s="9"/>
      <c r="P137" s="9"/>
      <c r="Q137" s="9"/>
      <c r="R137" s="9"/>
      <c r="S137" s="9"/>
      <c r="T137" s="9"/>
    </row>
    <row r="138" customFormat="false" ht="15" hidden="false" customHeight="false" outlineLevel="0" collapsed="false">
      <c r="A138" s="9"/>
      <c r="B138" s="9"/>
      <c r="C138" s="9"/>
      <c r="D138" s="9"/>
      <c r="E138" s="9"/>
      <c r="F138" s="9"/>
      <c r="G138" s="9"/>
      <c r="H138" s="9"/>
      <c r="I138" s="9"/>
      <c r="J138" s="9"/>
      <c r="K138" s="9"/>
      <c r="L138" s="9"/>
      <c r="M138" s="9"/>
      <c r="N138" s="9"/>
      <c r="O138" s="9"/>
      <c r="P138" s="9"/>
      <c r="Q138" s="9"/>
      <c r="R138" s="9"/>
      <c r="S138" s="9"/>
      <c r="T138" s="9"/>
    </row>
    <row r="139" customFormat="false" ht="15" hidden="false" customHeight="false" outlineLevel="0" collapsed="false">
      <c r="A139" s="9"/>
      <c r="B139" s="9"/>
      <c r="C139" s="9"/>
      <c r="D139" s="9"/>
      <c r="E139" s="9"/>
      <c r="F139" s="9"/>
      <c r="G139" s="9"/>
      <c r="H139" s="9"/>
      <c r="I139" s="9"/>
      <c r="J139" s="9"/>
      <c r="K139" s="9"/>
      <c r="L139" s="9"/>
      <c r="M139" s="9"/>
      <c r="N139" s="9"/>
      <c r="O139" s="9"/>
      <c r="P139" s="9"/>
      <c r="Q139" s="9"/>
      <c r="R139" s="9"/>
      <c r="S139" s="9"/>
      <c r="T139" s="9"/>
    </row>
    <row r="140" customFormat="false" ht="15" hidden="false" customHeight="false" outlineLevel="0" collapsed="false">
      <c r="A140" s="9"/>
      <c r="B140" s="9"/>
      <c r="C140" s="9"/>
      <c r="D140" s="9"/>
      <c r="E140" s="9"/>
      <c r="F140" s="9"/>
      <c r="G140" s="9"/>
      <c r="H140" s="9"/>
      <c r="I140" s="9"/>
      <c r="J140" s="9"/>
      <c r="K140" s="9"/>
      <c r="L140" s="9"/>
      <c r="M140" s="9"/>
      <c r="N140" s="9"/>
      <c r="O140" s="9"/>
      <c r="P140" s="9"/>
      <c r="Q140" s="9"/>
      <c r="R140" s="9"/>
      <c r="S140" s="9"/>
      <c r="T140" s="9"/>
    </row>
    <row r="141" customFormat="false" ht="15" hidden="false" customHeight="false" outlineLevel="0" collapsed="false">
      <c r="A141" s="9"/>
      <c r="B141" s="9"/>
      <c r="C141" s="9"/>
      <c r="D141" s="9"/>
      <c r="E141" s="9"/>
      <c r="F141" s="9"/>
      <c r="G141" s="9"/>
      <c r="H141" s="9"/>
      <c r="I141" s="9"/>
      <c r="J141" s="9"/>
      <c r="K141" s="9"/>
      <c r="L141" s="9"/>
      <c r="M141" s="9"/>
      <c r="N141" s="9"/>
      <c r="O141" s="9"/>
      <c r="P141" s="9"/>
      <c r="Q141" s="9"/>
      <c r="R141" s="9"/>
      <c r="S141" s="9"/>
      <c r="T141" s="9"/>
    </row>
    <row r="142" customFormat="false" ht="15" hidden="false" customHeight="false" outlineLevel="0" collapsed="false">
      <c r="A142" s="9"/>
      <c r="B142" s="9"/>
      <c r="C142" s="9"/>
      <c r="D142" s="9"/>
      <c r="E142" s="9"/>
      <c r="F142" s="9"/>
      <c r="G142" s="9"/>
      <c r="H142" s="9"/>
      <c r="I142" s="9"/>
      <c r="J142" s="9"/>
      <c r="K142" s="9"/>
      <c r="L142" s="9"/>
      <c r="M142" s="9"/>
      <c r="N142" s="9"/>
      <c r="O142" s="9"/>
      <c r="P142" s="9"/>
      <c r="Q142" s="9"/>
      <c r="R142" s="9"/>
      <c r="S142" s="9"/>
      <c r="T142" s="9"/>
    </row>
    <row r="143" customFormat="false" ht="15" hidden="false" customHeight="false" outlineLevel="0" collapsed="false">
      <c r="A143" s="9"/>
      <c r="B143" s="9"/>
      <c r="C143" s="9"/>
      <c r="D143" s="9"/>
      <c r="E143" s="9"/>
      <c r="F143" s="9"/>
      <c r="G143" s="9"/>
      <c r="H143" s="9"/>
      <c r="I143" s="9"/>
      <c r="J143" s="9"/>
      <c r="K143" s="9"/>
      <c r="L143" s="9"/>
      <c r="M143" s="9"/>
      <c r="N143" s="9"/>
      <c r="O143" s="9"/>
      <c r="P143" s="9"/>
      <c r="Q143" s="9"/>
      <c r="R143" s="9"/>
      <c r="S143" s="9"/>
      <c r="T143" s="9"/>
    </row>
    <row r="144" customFormat="false" ht="15" hidden="false" customHeight="false" outlineLevel="0" collapsed="false">
      <c r="A144" s="9"/>
      <c r="B144" s="9"/>
      <c r="C144" s="9"/>
      <c r="D144" s="9"/>
      <c r="E144" s="9"/>
      <c r="F144" s="9"/>
      <c r="G144" s="9"/>
      <c r="H144" s="9"/>
      <c r="I144" s="9"/>
      <c r="J144" s="9"/>
      <c r="K144" s="9"/>
      <c r="L144" s="9"/>
      <c r="M144" s="9"/>
      <c r="N144" s="9"/>
      <c r="O144" s="9"/>
      <c r="P144" s="9"/>
      <c r="Q144" s="9"/>
      <c r="R144" s="9"/>
      <c r="S144" s="9"/>
      <c r="T144" s="9"/>
    </row>
    <row r="145" customFormat="false" ht="15" hidden="false" customHeight="false" outlineLevel="0" collapsed="false">
      <c r="A145" s="9"/>
      <c r="B145" s="9"/>
      <c r="C145" s="9"/>
      <c r="D145" s="9"/>
      <c r="E145" s="9"/>
      <c r="F145" s="9"/>
      <c r="G145" s="9"/>
      <c r="H145" s="9"/>
      <c r="I145" s="9"/>
      <c r="J145" s="9"/>
      <c r="K145" s="9"/>
      <c r="L145" s="9"/>
      <c r="M145" s="9"/>
      <c r="N145" s="9"/>
      <c r="O145" s="9"/>
      <c r="P145" s="9"/>
      <c r="Q145" s="9"/>
      <c r="R145" s="9"/>
      <c r="S145" s="9"/>
      <c r="T145" s="9"/>
    </row>
    <row r="146" customFormat="false" ht="15" hidden="false" customHeight="false" outlineLevel="0" collapsed="false">
      <c r="A146" s="9"/>
      <c r="B146" s="9"/>
      <c r="C146" s="9"/>
      <c r="D146" s="9"/>
      <c r="E146" s="9"/>
      <c r="F146" s="9"/>
      <c r="G146" s="9"/>
      <c r="H146" s="9"/>
      <c r="I146" s="9"/>
      <c r="J146" s="9"/>
      <c r="K146" s="9"/>
      <c r="L146" s="9"/>
      <c r="M146" s="9"/>
      <c r="N146" s="9"/>
      <c r="O146" s="9"/>
      <c r="P146" s="9"/>
      <c r="Q146" s="9"/>
      <c r="R146" s="9"/>
      <c r="S146" s="9"/>
      <c r="T146" s="9"/>
    </row>
    <row r="147" customFormat="false" ht="15" hidden="false" customHeight="false" outlineLevel="0" collapsed="false">
      <c r="A147" s="9"/>
      <c r="B147" s="9"/>
      <c r="C147" s="9"/>
      <c r="D147" s="9"/>
      <c r="E147" s="9"/>
      <c r="F147" s="9"/>
      <c r="G147" s="9"/>
      <c r="H147" s="9"/>
      <c r="I147" s="9"/>
      <c r="J147" s="9"/>
      <c r="K147" s="9"/>
      <c r="L147" s="9"/>
      <c r="M147" s="9"/>
      <c r="N147" s="9"/>
      <c r="O147" s="9"/>
      <c r="P147" s="9"/>
      <c r="Q147" s="9"/>
      <c r="R147" s="9"/>
      <c r="S147" s="9"/>
      <c r="T147" s="9"/>
    </row>
    <row r="148" customFormat="false" ht="15" hidden="false" customHeight="false" outlineLevel="0" collapsed="false">
      <c r="A148" s="9"/>
      <c r="B148" s="9"/>
      <c r="C148" s="9"/>
      <c r="D148" s="9"/>
      <c r="E148" s="9"/>
      <c r="F148" s="9"/>
      <c r="G148" s="9"/>
      <c r="H148" s="9"/>
      <c r="I148" s="9"/>
      <c r="J148" s="9"/>
      <c r="K148" s="9"/>
      <c r="L148" s="9"/>
      <c r="M148" s="9"/>
      <c r="N148" s="9"/>
      <c r="O148" s="9"/>
      <c r="P148" s="9"/>
      <c r="Q148" s="9"/>
      <c r="R148" s="9"/>
      <c r="S148" s="9"/>
      <c r="T148" s="9"/>
    </row>
    <row r="149" customFormat="false" ht="15" hidden="false" customHeight="false" outlineLevel="0" collapsed="false">
      <c r="A149" s="9"/>
      <c r="B149" s="9"/>
      <c r="C149" s="9"/>
      <c r="D149" s="9"/>
      <c r="E149" s="9"/>
      <c r="F149" s="9"/>
      <c r="G149" s="9"/>
      <c r="H149" s="9"/>
      <c r="I149" s="9"/>
      <c r="J149" s="9"/>
      <c r="K149" s="9"/>
      <c r="L149" s="9"/>
      <c r="M149" s="9"/>
      <c r="N149" s="9"/>
      <c r="O149" s="9"/>
      <c r="P149" s="9"/>
      <c r="Q149" s="9"/>
      <c r="R149" s="9"/>
      <c r="S149" s="9"/>
      <c r="T149" s="9"/>
    </row>
    <row r="150" customFormat="false" ht="15" hidden="false" customHeight="false" outlineLevel="0" collapsed="false">
      <c r="A150" s="9"/>
      <c r="B150" s="9"/>
      <c r="C150" s="9"/>
      <c r="D150" s="9"/>
      <c r="E150" s="9"/>
      <c r="F150" s="9"/>
      <c r="G150" s="9"/>
      <c r="H150" s="9"/>
      <c r="I150" s="9"/>
      <c r="J150" s="9"/>
      <c r="K150" s="9"/>
      <c r="L150" s="9"/>
      <c r="M150" s="9"/>
      <c r="N150" s="9"/>
      <c r="O150" s="9"/>
      <c r="P150" s="9"/>
      <c r="Q150" s="9"/>
      <c r="R150" s="9"/>
      <c r="S150" s="9"/>
      <c r="T150" s="9"/>
    </row>
    <row r="151" customFormat="false" ht="15" hidden="false" customHeight="false" outlineLevel="0" collapsed="false">
      <c r="A151" s="9"/>
      <c r="B151" s="9"/>
      <c r="C151" s="9"/>
      <c r="D151" s="9"/>
      <c r="E151" s="9"/>
      <c r="F151" s="9"/>
      <c r="G151" s="9"/>
      <c r="H151" s="9"/>
      <c r="I151" s="9"/>
      <c r="J151" s="9"/>
      <c r="K151" s="9"/>
      <c r="L151" s="9"/>
      <c r="M151" s="9"/>
      <c r="N151" s="9"/>
      <c r="O151" s="9"/>
      <c r="P151" s="9"/>
      <c r="Q151" s="9"/>
      <c r="R151" s="9"/>
      <c r="S151" s="9"/>
      <c r="T151" s="9"/>
    </row>
    <row r="152" customFormat="false" ht="15" hidden="false" customHeight="false" outlineLevel="0" collapsed="false">
      <c r="A152" s="9"/>
      <c r="B152" s="9"/>
      <c r="C152" s="9"/>
      <c r="D152" s="9"/>
      <c r="E152" s="9"/>
      <c r="F152" s="9"/>
      <c r="G152" s="9"/>
      <c r="H152" s="9"/>
      <c r="I152" s="9"/>
      <c r="J152" s="9"/>
      <c r="K152" s="9"/>
      <c r="L152" s="9"/>
      <c r="M152" s="9"/>
      <c r="N152" s="9"/>
      <c r="O152" s="9"/>
      <c r="P152" s="9"/>
      <c r="Q152" s="9"/>
      <c r="R152" s="9"/>
      <c r="S152" s="9"/>
      <c r="T152" s="9"/>
    </row>
    <row r="153" customFormat="false" ht="15" hidden="false" customHeight="false" outlineLevel="0" collapsed="false">
      <c r="A153" s="9"/>
      <c r="B153" s="9"/>
      <c r="C153" s="9"/>
      <c r="D153" s="9"/>
      <c r="E153" s="9"/>
      <c r="F153" s="9"/>
      <c r="G153" s="9"/>
      <c r="H153" s="9"/>
      <c r="I153" s="9"/>
      <c r="J153" s="9"/>
      <c r="K153" s="9"/>
      <c r="L153" s="9"/>
      <c r="M153" s="9"/>
      <c r="N153" s="9"/>
      <c r="O153" s="9"/>
      <c r="P153" s="9"/>
      <c r="Q153" s="9"/>
      <c r="R153" s="9"/>
      <c r="S153" s="9"/>
      <c r="T153" s="9"/>
    </row>
    <row r="154" customFormat="false" ht="15" hidden="false" customHeight="false" outlineLevel="0" collapsed="false">
      <c r="A154" s="9"/>
      <c r="B154" s="9"/>
      <c r="C154" s="9"/>
      <c r="D154" s="9"/>
      <c r="E154" s="9"/>
      <c r="F154" s="9"/>
      <c r="G154" s="9"/>
      <c r="H154" s="9"/>
      <c r="I154" s="9"/>
      <c r="J154" s="9"/>
      <c r="K154" s="9"/>
      <c r="L154" s="9"/>
      <c r="M154" s="9"/>
      <c r="N154" s="9"/>
      <c r="O154" s="9"/>
      <c r="P154" s="9"/>
      <c r="Q154" s="9"/>
      <c r="R154" s="9"/>
      <c r="S154" s="9"/>
      <c r="T154" s="9"/>
    </row>
    <row r="155" customFormat="false" ht="15" hidden="false" customHeight="false" outlineLevel="0" collapsed="false">
      <c r="A155" s="9"/>
      <c r="B155" s="9"/>
      <c r="C155" s="9"/>
      <c r="D155" s="9"/>
      <c r="E155" s="9"/>
      <c r="F155" s="9"/>
      <c r="G155" s="9"/>
      <c r="H155" s="9"/>
      <c r="I155" s="9"/>
      <c r="J155" s="9"/>
      <c r="K155" s="9"/>
      <c r="L155" s="9"/>
      <c r="M155" s="9"/>
      <c r="N155" s="9"/>
      <c r="O155" s="9"/>
      <c r="P155" s="9"/>
      <c r="Q155" s="9"/>
      <c r="R155" s="9"/>
      <c r="S155" s="9"/>
      <c r="T155" s="9"/>
    </row>
    <row r="156" customFormat="false" ht="15" hidden="false" customHeight="false" outlineLevel="0" collapsed="false">
      <c r="A156" s="9"/>
      <c r="B156" s="9"/>
      <c r="C156" s="9"/>
      <c r="D156" s="9"/>
      <c r="E156" s="9"/>
      <c r="F156" s="9"/>
      <c r="G156" s="9"/>
      <c r="H156" s="9"/>
      <c r="I156" s="9"/>
      <c r="J156" s="9"/>
      <c r="K156" s="9"/>
      <c r="L156" s="9"/>
      <c r="M156" s="9"/>
      <c r="N156" s="9"/>
      <c r="O156" s="9"/>
      <c r="P156" s="9"/>
      <c r="Q156" s="9"/>
      <c r="R156" s="9"/>
      <c r="S156" s="9"/>
      <c r="T156" s="9"/>
    </row>
    <row r="157" customFormat="false" ht="15" hidden="false" customHeight="false" outlineLevel="0" collapsed="false">
      <c r="A157" s="9"/>
      <c r="B157" s="9"/>
      <c r="C157" s="9"/>
      <c r="D157" s="9"/>
      <c r="E157" s="9"/>
      <c r="F157" s="9"/>
      <c r="G157" s="9"/>
      <c r="H157" s="9"/>
      <c r="I157" s="9"/>
      <c r="J157" s="9"/>
      <c r="K157" s="9"/>
      <c r="L157" s="9"/>
      <c r="M157" s="9"/>
      <c r="N157" s="9"/>
      <c r="O157" s="9"/>
      <c r="P157" s="9"/>
      <c r="Q157" s="9"/>
      <c r="R157" s="9"/>
      <c r="S157" s="9"/>
      <c r="T157" s="9"/>
    </row>
    <row r="158" customFormat="false" ht="15" hidden="false" customHeight="false" outlineLevel="0" collapsed="false">
      <c r="A158" s="9"/>
      <c r="B158" s="9"/>
      <c r="C158" s="9"/>
      <c r="D158" s="9"/>
      <c r="E158" s="9"/>
      <c r="F158" s="9"/>
      <c r="G158" s="9"/>
      <c r="H158" s="9"/>
      <c r="I158" s="9"/>
      <c r="J158" s="9"/>
      <c r="K158" s="9"/>
      <c r="L158" s="9"/>
      <c r="M158" s="9"/>
      <c r="N158" s="9"/>
      <c r="O158" s="9"/>
      <c r="P158" s="9"/>
      <c r="Q158" s="9"/>
      <c r="R158" s="9"/>
      <c r="S158" s="9"/>
      <c r="T158" s="9"/>
    </row>
    <row r="159" customFormat="false" ht="15" hidden="false" customHeight="false" outlineLevel="0" collapsed="false">
      <c r="A159" s="9"/>
      <c r="B159" s="9"/>
      <c r="C159" s="9"/>
      <c r="D159" s="9"/>
      <c r="E159" s="9"/>
      <c r="F159" s="9"/>
      <c r="G159" s="9"/>
      <c r="H159" s="9"/>
      <c r="I159" s="9"/>
      <c r="J159" s="9"/>
      <c r="K159" s="9"/>
      <c r="L159" s="9"/>
      <c r="M159" s="9"/>
      <c r="N159" s="9"/>
      <c r="O159" s="9"/>
      <c r="P159" s="9"/>
      <c r="Q159" s="9"/>
      <c r="R159" s="9"/>
      <c r="S159" s="9"/>
      <c r="T159" s="9"/>
    </row>
    <row r="160" customFormat="false" ht="15" hidden="false" customHeight="false" outlineLevel="0" collapsed="false">
      <c r="A160" s="9"/>
      <c r="B160" s="9"/>
      <c r="C160" s="9"/>
      <c r="D160" s="9"/>
      <c r="E160" s="9"/>
      <c r="F160" s="9"/>
      <c r="G160" s="9"/>
      <c r="H160" s="9"/>
      <c r="I160" s="9"/>
      <c r="J160" s="9"/>
      <c r="K160" s="9"/>
      <c r="L160" s="9"/>
      <c r="M160" s="9"/>
      <c r="N160" s="9"/>
      <c r="O160" s="9"/>
      <c r="P160" s="9"/>
      <c r="Q160" s="9"/>
      <c r="R160" s="9"/>
      <c r="S160" s="9"/>
      <c r="T160" s="9"/>
    </row>
    <row r="161" customFormat="false" ht="15" hidden="false" customHeight="false" outlineLevel="0" collapsed="false">
      <c r="A161" s="9"/>
      <c r="B161" s="9"/>
      <c r="C161" s="9"/>
      <c r="D161" s="9"/>
      <c r="E161" s="9"/>
      <c r="F161" s="9"/>
      <c r="G161" s="9"/>
      <c r="H161" s="9"/>
      <c r="I161" s="9"/>
      <c r="J161" s="9"/>
      <c r="K161" s="9"/>
      <c r="L161" s="9"/>
      <c r="M161" s="9"/>
      <c r="N161" s="9"/>
      <c r="O161" s="9"/>
      <c r="P161" s="9"/>
      <c r="Q161" s="9"/>
      <c r="R161" s="9"/>
      <c r="S161" s="9"/>
      <c r="T161" s="9"/>
    </row>
    <row r="162" customFormat="false" ht="15" hidden="false" customHeight="false" outlineLevel="0" collapsed="false">
      <c r="A162" s="9"/>
      <c r="B162" s="9"/>
      <c r="C162" s="9"/>
      <c r="D162" s="9"/>
      <c r="E162" s="9"/>
      <c r="F162" s="9"/>
      <c r="G162" s="9"/>
      <c r="H162" s="9"/>
      <c r="I162" s="9"/>
      <c r="J162" s="9"/>
      <c r="K162" s="9"/>
      <c r="L162" s="9"/>
      <c r="M162" s="9"/>
      <c r="N162" s="9"/>
      <c r="O162" s="9"/>
      <c r="P162" s="9"/>
      <c r="Q162" s="9"/>
      <c r="R162" s="9"/>
      <c r="S162" s="9"/>
      <c r="T162" s="9"/>
    </row>
    <row r="163" customFormat="false" ht="15" hidden="false" customHeight="false" outlineLevel="0" collapsed="false">
      <c r="A163" s="9"/>
      <c r="B163" s="9"/>
      <c r="C163" s="9"/>
      <c r="D163" s="9"/>
      <c r="E163" s="9"/>
      <c r="F163" s="9"/>
      <c r="G163" s="9"/>
      <c r="H163" s="9"/>
      <c r="I163" s="9"/>
      <c r="J163" s="9"/>
      <c r="K163" s="9"/>
      <c r="L163" s="9"/>
      <c r="M163" s="9"/>
      <c r="N163" s="9"/>
      <c r="O163" s="9"/>
      <c r="P163" s="9"/>
      <c r="Q163" s="9"/>
      <c r="R163" s="9"/>
      <c r="S163" s="9"/>
      <c r="T163" s="9"/>
    </row>
    <row r="164" customFormat="false" ht="15" hidden="false" customHeight="false" outlineLevel="0" collapsed="false">
      <c r="A164" s="9"/>
      <c r="B164" s="9"/>
      <c r="C164" s="9"/>
      <c r="D164" s="9"/>
      <c r="E164" s="9"/>
      <c r="F164" s="9"/>
      <c r="G164" s="9"/>
      <c r="H164" s="9"/>
      <c r="I164" s="9"/>
      <c r="J164" s="9"/>
      <c r="K164" s="9"/>
      <c r="L164" s="9"/>
      <c r="M164" s="9"/>
      <c r="N164" s="9"/>
      <c r="O164" s="9"/>
      <c r="P164" s="9"/>
      <c r="Q164" s="9"/>
      <c r="R164" s="9"/>
      <c r="S164" s="9"/>
      <c r="T164" s="9"/>
    </row>
    <row r="165" customFormat="false" ht="15" hidden="false" customHeight="false" outlineLevel="0" collapsed="false">
      <c r="A165" s="9"/>
      <c r="B165" s="9"/>
      <c r="C165" s="9"/>
      <c r="D165" s="9"/>
      <c r="E165" s="9"/>
      <c r="F165" s="9"/>
      <c r="G165" s="9"/>
      <c r="H165" s="9"/>
      <c r="I165" s="9"/>
      <c r="J165" s="9"/>
      <c r="K165" s="9"/>
      <c r="L165" s="9"/>
      <c r="M165" s="9"/>
      <c r="N165" s="9"/>
      <c r="O165" s="9"/>
      <c r="P165" s="9"/>
      <c r="Q165" s="9"/>
      <c r="R165" s="9"/>
      <c r="S165" s="9"/>
      <c r="T165" s="9"/>
    </row>
    <row r="166" customFormat="false" ht="15" hidden="false" customHeight="false" outlineLevel="0" collapsed="false">
      <c r="A166" s="9"/>
      <c r="B166" s="9"/>
      <c r="C166" s="9"/>
      <c r="D166" s="9"/>
      <c r="E166" s="9"/>
      <c r="F166" s="9"/>
      <c r="G166" s="9"/>
      <c r="H166" s="9"/>
      <c r="I166" s="9"/>
      <c r="J166" s="9"/>
      <c r="K166" s="9"/>
      <c r="L166" s="9"/>
      <c r="M166" s="9"/>
      <c r="N166" s="9"/>
      <c r="O166" s="9"/>
      <c r="P166" s="9"/>
      <c r="Q166" s="9"/>
      <c r="R166" s="9"/>
      <c r="S166" s="9"/>
      <c r="T166" s="9"/>
    </row>
    <row r="167" customFormat="false" ht="15" hidden="false" customHeight="false" outlineLevel="0" collapsed="false">
      <c r="A167" s="9"/>
      <c r="B167" s="9"/>
      <c r="C167" s="9"/>
      <c r="D167" s="9"/>
      <c r="E167" s="9"/>
      <c r="F167" s="9"/>
      <c r="G167" s="9"/>
      <c r="H167" s="9"/>
      <c r="I167" s="9"/>
      <c r="J167" s="9"/>
      <c r="K167" s="9"/>
      <c r="L167" s="9"/>
      <c r="M167" s="9"/>
      <c r="N167" s="9"/>
      <c r="O167" s="9"/>
      <c r="P167" s="9"/>
      <c r="Q167" s="9"/>
      <c r="R167" s="9"/>
      <c r="S167" s="9"/>
      <c r="T167" s="9"/>
    </row>
    <row r="168" customFormat="false" ht="15" hidden="false" customHeight="false" outlineLevel="0" collapsed="false">
      <c r="A168" s="9"/>
      <c r="B168" s="9"/>
      <c r="C168" s="9"/>
      <c r="D168" s="9"/>
      <c r="E168" s="9"/>
      <c r="F168" s="9"/>
      <c r="G168" s="9"/>
      <c r="H168" s="9"/>
      <c r="I168" s="9"/>
      <c r="J168" s="9"/>
      <c r="K168" s="9"/>
      <c r="L168" s="9"/>
      <c r="M168" s="9"/>
      <c r="N168" s="9"/>
      <c r="O168" s="9"/>
      <c r="P168" s="9"/>
      <c r="Q168" s="9"/>
      <c r="R168" s="9"/>
      <c r="S168" s="9"/>
      <c r="T168" s="9"/>
    </row>
    <row r="169" customFormat="false" ht="15" hidden="false" customHeight="false" outlineLevel="0" collapsed="false">
      <c r="A169" s="9"/>
      <c r="B169" s="9"/>
      <c r="C169" s="9"/>
      <c r="D169" s="9"/>
      <c r="E169" s="9"/>
      <c r="F169" s="9"/>
      <c r="G169" s="9"/>
      <c r="H169" s="9"/>
      <c r="I169" s="9"/>
      <c r="J169" s="9"/>
      <c r="K169" s="9"/>
      <c r="L169" s="9"/>
      <c r="M169" s="9"/>
      <c r="N169" s="9"/>
      <c r="O169" s="9"/>
      <c r="P169" s="9"/>
      <c r="Q169" s="9"/>
      <c r="R169" s="9"/>
      <c r="S169" s="9"/>
      <c r="T169" s="9"/>
    </row>
    <row r="170" customFormat="false" ht="15" hidden="false" customHeight="false" outlineLevel="0" collapsed="false">
      <c r="A170" s="9"/>
      <c r="B170" s="9"/>
      <c r="C170" s="9"/>
      <c r="D170" s="9"/>
      <c r="E170" s="9"/>
      <c r="F170" s="9"/>
      <c r="G170" s="9"/>
      <c r="H170" s="9"/>
      <c r="I170" s="9"/>
      <c r="J170" s="9"/>
      <c r="K170" s="9"/>
      <c r="L170" s="9"/>
      <c r="M170" s="9"/>
      <c r="N170" s="9"/>
      <c r="O170" s="9"/>
      <c r="P170" s="9"/>
      <c r="Q170" s="9"/>
      <c r="R170" s="9"/>
      <c r="S170" s="9"/>
      <c r="T170" s="9"/>
    </row>
    <row r="171" customFormat="false" ht="15" hidden="false" customHeight="false" outlineLevel="0" collapsed="false">
      <c r="A171" s="9"/>
      <c r="B171" s="9"/>
      <c r="C171" s="9"/>
      <c r="D171" s="9"/>
      <c r="E171" s="9"/>
      <c r="F171" s="9"/>
      <c r="G171" s="9"/>
      <c r="H171" s="9"/>
      <c r="I171" s="9"/>
      <c r="J171" s="9"/>
      <c r="K171" s="9"/>
      <c r="L171" s="9"/>
      <c r="M171" s="9"/>
      <c r="N171" s="9"/>
      <c r="O171" s="9"/>
      <c r="P171" s="9"/>
      <c r="Q171" s="9"/>
      <c r="R171" s="9"/>
      <c r="S171" s="9"/>
      <c r="T171" s="9"/>
    </row>
    <row r="172" customFormat="false" ht="15" hidden="false" customHeight="false" outlineLevel="0" collapsed="false">
      <c r="A172" s="9"/>
      <c r="B172" s="9"/>
      <c r="C172" s="9"/>
      <c r="D172" s="9"/>
      <c r="E172" s="9"/>
      <c r="F172" s="9"/>
      <c r="G172" s="9"/>
      <c r="H172" s="9"/>
      <c r="I172" s="9"/>
      <c r="J172" s="9"/>
      <c r="K172" s="9"/>
      <c r="L172" s="9"/>
      <c r="M172" s="9"/>
      <c r="N172" s="9"/>
      <c r="O172" s="9"/>
      <c r="P172" s="9"/>
      <c r="Q172" s="9"/>
      <c r="R172" s="9"/>
      <c r="S172" s="9"/>
      <c r="T172" s="9"/>
    </row>
    <row r="173" customFormat="false" ht="15" hidden="false" customHeight="false" outlineLevel="0" collapsed="false">
      <c r="A173" s="9"/>
      <c r="B173" s="9"/>
      <c r="C173" s="9"/>
      <c r="D173" s="9"/>
      <c r="E173" s="9"/>
      <c r="F173" s="9"/>
      <c r="G173" s="9"/>
      <c r="H173" s="9"/>
      <c r="I173" s="9"/>
      <c r="J173" s="9"/>
      <c r="K173" s="9"/>
      <c r="L173" s="9"/>
      <c r="M173" s="9"/>
      <c r="N173" s="9"/>
      <c r="O173" s="9"/>
      <c r="P173" s="9"/>
      <c r="Q173" s="9"/>
      <c r="R173" s="9"/>
      <c r="S173" s="9"/>
      <c r="T173" s="9"/>
    </row>
    <row r="174" customFormat="false" ht="15" hidden="false" customHeight="false" outlineLevel="0" collapsed="false">
      <c r="A174" s="9"/>
      <c r="B174" s="9"/>
      <c r="C174" s="9"/>
      <c r="D174" s="9"/>
      <c r="E174" s="9"/>
      <c r="F174" s="9"/>
      <c r="G174" s="9"/>
      <c r="H174" s="9"/>
      <c r="I174" s="9"/>
      <c r="J174" s="9"/>
      <c r="K174" s="9"/>
      <c r="L174" s="9"/>
      <c r="M174" s="9"/>
      <c r="N174" s="9"/>
      <c r="O174" s="9"/>
      <c r="P174" s="9"/>
      <c r="Q174" s="9"/>
      <c r="R174" s="9"/>
      <c r="S174" s="9"/>
      <c r="T174" s="9"/>
    </row>
    <row r="175" customFormat="false" ht="15" hidden="false" customHeight="false" outlineLevel="0" collapsed="false">
      <c r="A175" s="9"/>
      <c r="B175" s="9"/>
      <c r="C175" s="9"/>
      <c r="D175" s="9"/>
      <c r="E175" s="9"/>
      <c r="F175" s="9"/>
      <c r="G175" s="9"/>
      <c r="H175" s="9"/>
      <c r="I175" s="9"/>
      <c r="J175" s="9"/>
      <c r="K175" s="9"/>
      <c r="L175" s="9"/>
      <c r="M175" s="9"/>
      <c r="N175" s="9"/>
      <c r="O175" s="9"/>
      <c r="P175" s="9"/>
      <c r="Q175" s="9"/>
      <c r="R175" s="9"/>
      <c r="S175" s="9"/>
      <c r="T175" s="9"/>
    </row>
    <row r="176" customFormat="false" ht="15" hidden="false" customHeight="false" outlineLevel="0" collapsed="false">
      <c r="A176" s="9"/>
      <c r="B176" s="9"/>
      <c r="C176" s="9"/>
      <c r="D176" s="9"/>
      <c r="E176" s="9"/>
      <c r="F176" s="9"/>
      <c r="G176" s="9"/>
      <c r="H176" s="9"/>
      <c r="I176" s="9"/>
      <c r="J176" s="9"/>
      <c r="K176" s="9"/>
      <c r="L176" s="9"/>
      <c r="M176" s="9"/>
      <c r="N176" s="9"/>
      <c r="O176" s="9"/>
      <c r="P176" s="9"/>
      <c r="Q176" s="9"/>
      <c r="R176" s="9"/>
      <c r="S176" s="9"/>
      <c r="T176" s="9"/>
    </row>
    <row r="177" customFormat="false" ht="15" hidden="false" customHeight="false" outlineLevel="0" collapsed="false">
      <c r="A177" s="9"/>
      <c r="B177" s="9"/>
      <c r="C177" s="9"/>
      <c r="D177" s="9"/>
      <c r="E177" s="9"/>
      <c r="F177" s="9"/>
      <c r="G177" s="9"/>
      <c r="H177" s="9"/>
      <c r="I177" s="9"/>
      <c r="J177" s="9"/>
      <c r="K177" s="9"/>
      <c r="L177" s="9"/>
      <c r="M177" s="9"/>
      <c r="N177" s="9"/>
      <c r="O177" s="9"/>
      <c r="P177" s="9"/>
      <c r="Q177" s="9"/>
      <c r="R177" s="9"/>
      <c r="S177" s="9"/>
      <c r="T177" s="9"/>
    </row>
    <row r="178" customFormat="false" ht="15" hidden="false" customHeight="false" outlineLevel="0" collapsed="false">
      <c r="A178" s="9"/>
      <c r="B178" s="9"/>
      <c r="C178" s="9"/>
      <c r="D178" s="9"/>
      <c r="E178" s="9"/>
      <c r="F178" s="9"/>
      <c r="G178" s="9"/>
      <c r="H178" s="9"/>
      <c r="I178" s="9"/>
      <c r="J178" s="9"/>
      <c r="K178" s="9"/>
      <c r="L178" s="9"/>
      <c r="M178" s="9"/>
      <c r="N178" s="9"/>
      <c r="O178" s="9"/>
      <c r="P178" s="9"/>
      <c r="Q178" s="9"/>
      <c r="R178" s="9"/>
      <c r="S178" s="9"/>
      <c r="T178" s="9"/>
    </row>
    <row r="179" customFormat="false" ht="15" hidden="false" customHeight="false" outlineLevel="0" collapsed="false">
      <c r="A179" s="9"/>
      <c r="B179" s="9"/>
      <c r="C179" s="9"/>
      <c r="D179" s="9"/>
      <c r="E179" s="9"/>
      <c r="F179" s="9"/>
      <c r="G179" s="9"/>
      <c r="H179" s="9"/>
      <c r="I179" s="9"/>
      <c r="J179" s="9"/>
      <c r="K179" s="9"/>
      <c r="L179" s="9"/>
      <c r="M179" s="9"/>
      <c r="N179" s="9"/>
      <c r="O179" s="9"/>
      <c r="P179" s="9"/>
      <c r="Q179" s="9"/>
      <c r="R179" s="9"/>
      <c r="S179" s="9"/>
      <c r="T179" s="9"/>
    </row>
    <row r="180" customFormat="false" ht="15" hidden="false" customHeight="false" outlineLevel="0" collapsed="false">
      <c r="A180" s="9"/>
      <c r="B180" s="9"/>
      <c r="C180" s="9"/>
      <c r="D180" s="9"/>
      <c r="E180" s="9"/>
      <c r="F180" s="9"/>
      <c r="G180" s="9"/>
      <c r="H180" s="9"/>
      <c r="I180" s="9"/>
      <c r="J180" s="9"/>
      <c r="K180" s="9"/>
      <c r="L180" s="9"/>
      <c r="M180" s="9"/>
      <c r="N180" s="9"/>
      <c r="O180" s="9"/>
      <c r="P180" s="9"/>
      <c r="Q180" s="9"/>
      <c r="R180" s="9"/>
      <c r="S180" s="9"/>
      <c r="T180" s="9"/>
    </row>
    <row r="181" customFormat="false" ht="15" hidden="false" customHeight="false" outlineLevel="0" collapsed="false">
      <c r="A181" s="9"/>
      <c r="B181" s="9"/>
      <c r="C181" s="9"/>
      <c r="D181" s="9"/>
      <c r="E181" s="9"/>
      <c r="F181" s="9"/>
      <c r="G181" s="9"/>
      <c r="H181" s="9"/>
      <c r="I181" s="9"/>
      <c r="J181" s="9"/>
      <c r="K181" s="9"/>
      <c r="L181" s="9"/>
      <c r="M181" s="9"/>
      <c r="N181" s="9"/>
      <c r="O181" s="9"/>
      <c r="P181" s="9"/>
      <c r="Q181" s="9"/>
      <c r="R181" s="9"/>
      <c r="S181" s="9"/>
      <c r="T181" s="9"/>
    </row>
    <row r="182" customFormat="false" ht="15" hidden="false" customHeight="false" outlineLevel="0" collapsed="false">
      <c r="A182" s="9"/>
      <c r="B182" s="9"/>
      <c r="C182" s="9"/>
      <c r="D182" s="9"/>
      <c r="E182" s="9"/>
      <c r="F182" s="9"/>
      <c r="G182" s="9"/>
      <c r="H182" s="9"/>
      <c r="I182" s="9"/>
      <c r="J182" s="9"/>
      <c r="K182" s="9"/>
      <c r="L182" s="9"/>
      <c r="M182" s="9"/>
      <c r="N182" s="9"/>
      <c r="O182" s="9"/>
      <c r="P182" s="9"/>
      <c r="Q182" s="9"/>
      <c r="R182" s="9"/>
      <c r="S182" s="9"/>
      <c r="T182" s="9"/>
    </row>
    <row r="183" customFormat="false" ht="15" hidden="false" customHeight="false" outlineLevel="0" collapsed="false">
      <c r="A183" s="9"/>
      <c r="B183" s="9"/>
      <c r="C183" s="9"/>
      <c r="D183" s="9"/>
      <c r="E183" s="9"/>
      <c r="F183" s="9"/>
      <c r="G183" s="9"/>
      <c r="H183" s="9"/>
      <c r="I183" s="9"/>
      <c r="J183" s="9"/>
      <c r="K183" s="9"/>
      <c r="L183" s="9"/>
      <c r="M183" s="9"/>
      <c r="N183" s="9"/>
      <c r="O183" s="9"/>
      <c r="P183" s="9"/>
      <c r="Q183" s="9"/>
      <c r="R183" s="9"/>
      <c r="S183" s="9"/>
      <c r="T183" s="9"/>
    </row>
    <row r="184" customFormat="false" ht="15" hidden="false" customHeight="false" outlineLevel="0" collapsed="false">
      <c r="A184" s="9"/>
      <c r="B184" s="9"/>
      <c r="C184" s="9"/>
      <c r="D184" s="9"/>
      <c r="E184" s="9"/>
      <c r="F184" s="9"/>
      <c r="G184" s="9"/>
      <c r="H184" s="9"/>
      <c r="I184" s="9"/>
      <c r="J184" s="9"/>
      <c r="K184" s="9"/>
      <c r="L184" s="9"/>
      <c r="M184" s="9"/>
      <c r="N184" s="9"/>
      <c r="O184" s="9"/>
      <c r="P184" s="9"/>
      <c r="Q184" s="9"/>
      <c r="R184" s="9"/>
      <c r="S184" s="9"/>
      <c r="T184" s="9"/>
    </row>
    <row r="185" customFormat="false" ht="15" hidden="false" customHeight="false" outlineLevel="0" collapsed="false">
      <c r="A185" s="9"/>
      <c r="B185" s="9"/>
      <c r="C185" s="9"/>
      <c r="D185" s="9"/>
      <c r="E185" s="9"/>
      <c r="F185" s="9"/>
      <c r="G185" s="9"/>
      <c r="H185" s="9"/>
      <c r="I185" s="9"/>
      <c r="J185" s="9"/>
      <c r="K185" s="9"/>
      <c r="L185" s="9"/>
      <c r="M185" s="9"/>
      <c r="N185" s="9"/>
      <c r="O185" s="9"/>
      <c r="P185" s="9"/>
      <c r="Q185" s="9"/>
      <c r="R185" s="9"/>
      <c r="S185" s="9"/>
      <c r="T185" s="9"/>
    </row>
    <row r="186" customFormat="false" ht="15" hidden="false" customHeight="false" outlineLevel="0" collapsed="false">
      <c r="A186" s="9"/>
      <c r="B186" s="9"/>
      <c r="C186" s="9"/>
      <c r="D186" s="9"/>
      <c r="E186" s="9"/>
      <c r="F186" s="9"/>
      <c r="G186" s="9"/>
      <c r="H186" s="9"/>
      <c r="I186" s="9"/>
      <c r="J186" s="9"/>
      <c r="K186" s="9"/>
      <c r="L186" s="9"/>
      <c r="M186" s="9"/>
      <c r="N186" s="9"/>
      <c r="O186" s="9"/>
      <c r="P186" s="9"/>
      <c r="Q186" s="9"/>
      <c r="R186" s="9"/>
      <c r="S186" s="9"/>
      <c r="T186" s="9"/>
    </row>
    <row r="187" customFormat="false" ht="15" hidden="false" customHeight="false" outlineLevel="0" collapsed="false">
      <c r="A187" s="9"/>
      <c r="B187" s="9"/>
      <c r="C187" s="9"/>
      <c r="D187" s="9"/>
      <c r="E187" s="9"/>
      <c r="F187" s="9"/>
      <c r="G187" s="9"/>
      <c r="H187" s="9"/>
      <c r="I187" s="9"/>
      <c r="J187" s="9"/>
      <c r="K187" s="9"/>
      <c r="L187" s="9"/>
      <c r="M187" s="9"/>
      <c r="N187" s="9"/>
      <c r="O187" s="9"/>
      <c r="P187" s="9"/>
      <c r="Q187" s="9"/>
      <c r="R187" s="9"/>
      <c r="S187" s="9"/>
      <c r="T187" s="9"/>
    </row>
    <row r="188" customFormat="false" ht="15" hidden="false" customHeight="false" outlineLevel="0" collapsed="false">
      <c r="A188" s="9"/>
      <c r="B188" s="9"/>
      <c r="C188" s="9"/>
      <c r="D188" s="9"/>
      <c r="E188" s="9"/>
      <c r="F188" s="9"/>
      <c r="G188" s="9"/>
      <c r="H188" s="9"/>
      <c r="I188" s="9"/>
      <c r="J188" s="9"/>
      <c r="K188" s="9"/>
      <c r="L188" s="9"/>
      <c r="M188" s="9"/>
      <c r="N188" s="9"/>
      <c r="O188" s="9"/>
      <c r="P188" s="9"/>
      <c r="Q188" s="9"/>
      <c r="R188" s="9"/>
      <c r="S188" s="9"/>
      <c r="T188" s="9"/>
    </row>
    <row r="189" customFormat="false" ht="15" hidden="false" customHeight="false" outlineLevel="0" collapsed="false">
      <c r="A189" s="9"/>
      <c r="B189" s="9"/>
      <c r="C189" s="9"/>
      <c r="D189" s="9"/>
      <c r="E189" s="9"/>
      <c r="F189" s="9"/>
      <c r="G189" s="9"/>
      <c r="H189" s="9"/>
      <c r="I189" s="9"/>
      <c r="J189" s="9"/>
      <c r="K189" s="9"/>
      <c r="L189" s="9"/>
      <c r="M189" s="9"/>
      <c r="N189" s="9"/>
      <c r="O189" s="9"/>
      <c r="P189" s="9"/>
      <c r="Q189" s="9"/>
      <c r="R189" s="9"/>
      <c r="S189" s="9"/>
      <c r="T189" s="9"/>
    </row>
    <row r="190" customFormat="false" ht="15" hidden="false" customHeight="false" outlineLevel="0" collapsed="false">
      <c r="A190" s="9"/>
      <c r="B190" s="9"/>
      <c r="C190" s="9"/>
      <c r="D190" s="9"/>
      <c r="E190" s="9"/>
      <c r="F190" s="9"/>
      <c r="G190" s="9"/>
      <c r="H190" s="9"/>
      <c r="I190" s="9"/>
      <c r="J190" s="9"/>
      <c r="K190" s="9"/>
      <c r="L190" s="9"/>
      <c r="M190" s="9"/>
      <c r="N190" s="9"/>
      <c r="O190" s="9"/>
      <c r="P190" s="9"/>
      <c r="Q190" s="9"/>
      <c r="R190" s="9"/>
      <c r="S190" s="9"/>
      <c r="T190" s="9"/>
    </row>
    <row r="191" customFormat="false" ht="15" hidden="false" customHeight="false" outlineLevel="0" collapsed="false">
      <c r="A191" s="9"/>
      <c r="B191" s="9"/>
      <c r="C191" s="9"/>
      <c r="D191" s="9"/>
      <c r="E191" s="9"/>
      <c r="F191" s="9"/>
      <c r="G191" s="9"/>
      <c r="H191" s="9"/>
      <c r="I191" s="9"/>
      <c r="J191" s="9"/>
      <c r="K191" s="9"/>
      <c r="L191" s="9"/>
      <c r="M191" s="9"/>
      <c r="N191" s="9"/>
      <c r="O191" s="9"/>
      <c r="P191" s="9"/>
      <c r="Q191" s="9"/>
      <c r="R191" s="9"/>
      <c r="S191" s="9"/>
      <c r="T191" s="9"/>
    </row>
    <row r="192" customFormat="false" ht="15" hidden="false" customHeight="false" outlineLevel="0" collapsed="false">
      <c r="A192" s="9"/>
      <c r="B192" s="9"/>
      <c r="C192" s="9"/>
      <c r="D192" s="9"/>
      <c r="E192" s="9"/>
      <c r="F192" s="9"/>
      <c r="G192" s="9"/>
      <c r="H192" s="9"/>
      <c r="I192" s="9"/>
      <c r="J192" s="9"/>
      <c r="K192" s="9"/>
      <c r="L192" s="9"/>
      <c r="M192" s="9"/>
      <c r="N192" s="9"/>
      <c r="O192" s="9"/>
      <c r="P192" s="9"/>
      <c r="Q192" s="9"/>
      <c r="R192" s="9"/>
      <c r="S192" s="9"/>
      <c r="T192" s="9"/>
    </row>
    <row r="193" customFormat="false" ht="15" hidden="false" customHeight="false" outlineLevel="0" collapsed="false">
      <c r="A193" s="9"/>
      <c r="B193" s="9"/>
      <c r="C193" s="9"/>
      <c r="D193" s="9"/>
      <c r="E193" s="9"/>
      <c r="F193" s="9"/>
      <c r="G193" s="9"/>
      <c r="H193" s="9"/>
      <c r="I193" s="9"/>
      <c r="J193" s="9"/>
      <c r="K193" s="9"/>
      <c r="L193" s="9"/>
      <c r="M193" s="9"/>
      <c r="N193" s="9"/>
      <c r="O193" s="9"/>
      <c r="P193" s="9"/>
      <c r="Q193" s="9"/>
      <c r="R193" s="9"/>
      <c r="S193" s="9"/>
      <c r="T193" s="9"/>
    </row>
    <row r="194" customFormat="false" ht="15" hidden="false" customHeight="false" outlineLevel="0" collapsed="false">
      <c r="A194" s="9"/>
      <c r="B194" s="9"/>
      <c r="C194" s="9"/>
      <c r="D194" s="9"/>
      <c r="E194" s="9"/>
      <c r="F194" s="9"/>
      <c r="G194" s="9"/>
      <c r="H194" s="9"/>
      <c r="I194" s="9"/>
      <c r="J194" s="9"/>
      <c r="K194" s="9"/>
      <c r="L194" s="9"/>
      <c r="M194" s="9"/>
      <c r="N194" s="9"/>
      <c r="O194" s="9"/>
      <c r="P194" s="9"/>
      <c r="Q194" s="9"/>
      <c r="R194" s="9"/>
      <c r="S194" s="9"/>
      <c r="T194" s="9"/>
    </row>
    <row r="195" customFormat="false" ht="15" hidden="false" customHeight="false" outlineLevel="0" collapsed="false">
      <c r="A195" s="9"/>
      <c r="B195" s="9"/>
      <c r="C195" s="9"/>
      <c r="D195" s="9"/>
      <c r="E195" s="9"/>
      <c r="F195" s="9"/>
      <c r="G195" s="9"/>
      <c r="H195" s="9"/>
      <c r="I195" s="9"/>
      <c r="J195" s="9"/>
      <c r="K195" s="9"/>
      <c r="L195" s="9"/>
      <c r="M195" s="9"/>
      <c r="N195" s="9"/>
      <c r="O195" s="9"/>
      <c r="P195" s="9"/>
      <c r="Q195" s="9"/>
      <c r="R195" s="9"/>
      <c r="S195" s="9"/>
      <c r="T195" s="9"/>
    </row>
    <row r="196" customFormat="false" ht="15" hidden="false" customHeight="false" outlineLevel="0" collapsed="false">
      <c r="A196" s="9"/>
      <c r="B196" s="9"/>
      <c r="C196" s="9"/>
      <c r="D196" s="9"/>
      <c r="E196" s="9"/>
      <c r="F196" s="9"/>
      <c r="G196" s="9"/>
      <c r="H196" s="9"/>
      <c r="I196" s="9"/>
      <c r="J196" s="9"/>
      <c r="K196" s="9"/>
      <c r="L196" s="9"/>
      <c r="M196" s="9"/>
      <c r="N196" s="9"/>
      <c r="O196" s="9"/>
      <c r="P196" s="9"/>
      <c r="Q196" s="9"/>
      <c r="R196" s="9"/>
      <c r="S196" s="9"/>
      <c r="T196" s="9"/>
    </row>
    <row r="197" customFormat="false" ht="15" hidden="false" customHeight="false" outlineLevel="0" collapsed="false">
      <c r="A197" s="9"/>
      <c r="B197" s="9"/>
      <c r="C197" s="9"/>
      <c r="D197" s="9"/>
      <c r="E197" s="9"/>
      <c r="F197" s="9"/>
      <c r="G197" s="9"/>
      <c r="H197" s="9"/>
      <c r="I197" s="9"/>
      <c r="J197" s="9"/>
      <c r="K197" s="9"/>
      <c r="L197" s="9"/>
      <c r="M197" s="9"/>
      <c r="N197" s="9"/>
      <c r="O197" s="9"/>
      <c r="P197" s="9"/>
      <c r="Q197" s="9"/>
      <c r="R197" s="9"/>
      <c r="S197" s="9"/>
      <c r="T197" s="9"/>
    </row>
    <row r="198" customFormat="false" ht="15" hidden="false" customHeight="false" outlineLevel="0" collapsed="false">
      <c r="A198" s="9"/>
      <c r="B198" s="9"/>
      <c r="C198" s="9"/>
      <c r="D198" s="9"/>
      <c r="E198" s="9"/>
      <c r="F198" s="9"/>
      <c r="G198" s="9"/>
      <c r="H198" s="9"/>
      <c r="I198" s="9"/>
      <c r="J198" s="9"/>
      <c r="K198" s="9"/>
      <c r="L198" s="9"/>
      <c r="M198" s="9"/>
      <c r="N198" s="9"/>
      <c r="O198" s="9"/>
      <c r="P198" s="9"/>
      <c r="Q198" s="9"/>
      <c r="R198" s="9"/>
      <c r="S198" s="9"/>
      <c r="T198" s="9"/>
    </row>
    <row r="199" customFormat="false" ht="15" hidden="false" customHeight="false" outlineLevel="0" collapsed="false">
      <c r="A199" s="9"/>
      <c r="B199" s="9"/>
      <c r="C199" s="9"/>
      <c r="D199" s="9"/>
      <c r="E199" s="9"/>
      <c r="F199" s="9"/>
      <c r="G199" s="9"/>
      <c r="H199" s="9"/>
      <c r="I199" s="9"/>
      <c r="J199" s="9"/>
      <c r="K199" s="9"/>
      <c r="L199" s="9"/>
      <c r="M199" s="9"/>
      <c r="N199" s="9"/>
      <c r="O199" s="9"/>
      <c r="P199" s="9"/>
      <c r="Q199" s="9"/>
      <c r="R199" s="9"/>
      <c r="S199" s="9"/>
      <c r="T199" s="9"/>
    </row>
    <row r="200" customFormat="false" ht="15" hidden="false" customHeight="false" outlineLevel="0" collapsed="false">
      <c r="A200" s="9"/>
      <c r="B200" s="9"/>
      <c r="C200" s="9"/>
      <c r="D200" s="9"/>
      <c r="E200" s="9"/>
      <c r="F200" s="9"/>
      <c r="G200" s="9"/>
      <c r="H200" s="9"/>
      <c r="I200" s="9"/>
      <c r="J200" s="9"/>
      <c r="K200" s="9"/>
      <c r="L200" s="9"/>
      <c r="M200" s="9"/>
      <c r="N200" s="9"/>
      <c r="O200" s="9"/>
      <c r="P200" s="9"/>
      <c r="Q200" s="9"/>
      <c r="R200" s="9"/>
      <c r="S200" s="9"/>
      <c r="T200" s="9"/>
    </row>
    <row r="201" customFormat="false" ht="15" hidden="false" customHeight="false" outlineLevel="0" collapsed="false">
      <c r="A201" s="9"/>
      <c r="B201" s="9"/>
      <c r="C201" s="9"/>
      <c r="D201" s="9"/>
      <c r="E201" s="9"/>
      <c r="F201" s="9"/>
      <c r="G201" s="9"/>
      <c r="H201" s="9"/>
      <c r="I201" s="9"/>
      <c r="J201" s="9"/>
      <c r="K201" s="9"/>
      <c r="L201" s="9"/>
      <c r="M201" s="9"/>
      <c r="N201" s="9"/>
      <c r="O201" s="9"/>
      <c r="P201" s="9"/>
      <c r="Q201" s="9"/>
      <c r="R201" s="9"/>
      <c r="S201" s="9"/>
      <c r="T201" s="9"/>
    </row>
  </sheetData>
  <dataValidations count="2">
    <dataValidation allowBlank="true" errorStyle="stop" operator="between" showDropDown="false" showErrorMessage="false" showInputMessage="false" sqref="S2:S201" type="list">
      <formula1>"Development only,Development + internal validation,Development + external validation,External validation only"</formula1>
      <formula2>0</formula2>
    </dataValidation>
    <dataValidation allowBlank="true" errorStyle="stop" operator="between" showDropDown="false" showErrorMessage="false" showInputMessage="false" sqref="O2:O201" type="list">
      <formula1>"EHR,Survey/questionnaire,Wearable/sensor,Neuroimaging,Speech/audio,Social media text,Clinical interview,Genetic,Mixed,Other"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62"/>
    <col collapsed="false" customWidth="true" hidden="false" outlineLevel="0" max="4" min="4" style="0" width="12"/>
    <col collapsed="false" customWidth="true" hidden="false" outlineLevel="0" max="5" min="5" style="0" width="34"/>
  </cols>
  <sheetData>
    <row r="1" customFormat="false" ht="33.75" hidden="false" customHeight="true" outlineLevel="0" collapsed="false">
      <c r="A1" s="7" t="s">
        <v>35</v>
      </c>
      <c r="B1" s="7" t="s">
        <v>70</v>
      </c>
      <c r="C1" s="7" t="s">
        <v>71</v>
      </c>
      <c r="D1" s="7" t="s">
        <v>72</v>
      </c>
      <c r="E1" s="7" t="s">
        <v>73</v>
      </c>
    </row>
    <row r="2" customFormat="false" ht="15" hidden="false" customHeight="false" outlineLevel="0" collapsed="false">
      <c r="A2" s="1" t="s">
        <v>55</v>
      </c>
      <c r="C2" s="10" t="s">
        <v>74</v>
      </c>
    </row>
    <row r="3" customFormat="false" ht="15" hidden="false" customHeight="false" outlineLevel="0" collapsed="false">
      <c r="A3" s="11" t="s">
        <v>75</v>
      </c>
      <c r="B3" s="12"/>
      <c r="C3" s="12"/>
      <c r="D3" s="12"/>
      <c r="E3" s="12"/>
    </row>
    <row r="4" customFormat="false" ht="27.75" hidden="false" customHeight="true" outlineLevel="0" collapsed="false">
      <c r="A4" s="13"/>
      <c r="B4" s="14" t="s">
        <v>76</v>
      </c>
      <c r="C4" s="15" t="s">
        <v>77</v>
      </c>
      <c r="D4" s="16"/>
      <c r="E4" s="17"/>
    </row>
    <row r="5" customFormat="false" ht="27.75" hidden="false" customHeight="true" outlineLevel="0" collapsed="false">
      <c r="A5" s="13"/>
      <c r="B5" s="14" t="s">
        <v>78</v>
      </c>
      <c r="C5" s="15" t="s">
        <v>79</v>
      </c>
      <c r="D5" s="16"/>
      <c r="E5" s="17"/>
    </row>
    <row r="6" customFormat="false" ht="15" hidden="false" customHeight="false" outlineLevel="0" collapsed="false">
      <c r="A6" s="13"/>
      <c r="B6" s="13"/>
      <c r="C6" s="18" t="s">
        <v>80</v>
      </c>
      <c r="D6" s="16"/>
      <c r="E6" s="19" t="s">
        <v>81</v>
      </c>
    </row>
    <row r="7" customFormat="false" ht="15" hidden="false" customHeight="false" outlineLevel="0" collapsed="false">
      <c r="A7" s="13"/>
      <c r="B7" s="13"/>
      <c r="C7" s="18" t="s">
        <v>82</v>
      </c>
      <c r="D7" s="16"/>
      <c r="E7" s="13"/>
    </row>
    <row r="8" customFormat="false" ht="15" hidden="false" customHeight="false" outlineLevel="0" collapsed="false">
      <c r="A8" s="11" t="s">
        <v>83</v>
      </c>
      <c r="B8" s="12"/>
      <c r="C8" s="12"/>
      <c r="D8" s="12"/>
      <c r="E8" s="12"/>
    </row>
    <row r="9" customFormat="false" ht="27.75" hidden="false" customHeight="true" outlineLevel="0" collapsed="false">
      <c r="A9" s="13"/>
      <c r="B9" s="14" t="s">
        <v>84</v>
      </c>
      <c r="C9" s="15" t="s">
        <v>85</v>
      </c>
      <c r="D9" s="16"/>
      <c r="E9" s="17"/>
    </row>
    <row r="10" customFormat="false" ht="27.75" hidden="false" customHeight="true" outlineLevel="0" collapsed="false">
      <c r="A10" s="13"/>
      <c r="B10" s="14" t="s">
        <v>86</v>
      </c>
      <c r="C10" s="15" t="s">
        <v>87</v>
      </c>
      <c r="D10" s="16"/>
      <c r="E10" s="17"/>
    </row>
    <row r="11" customFormat="false" ht="27.75" hidden="false" customHeight="true" outlineLevel="0" collapsed="false">
      <c r="A11" s="13"/>
      <c r="B11" s="14" t="s">
        <v>88</v>
      </c>
      <c r="C11" s="15" t="s">
        <v>89</v>
      </c>
      <c r="D11" s="16"/>
      <c r="E11" s="17"/>
    </row>
    <row r="12" customFormat="false" ht="15" hidden="false" customHeight="false" outlineLevel="0" collapsed="false">
      <c r="A12" s="13"/>
      <c r="B12" s="13"/>
      <c r="C12" s="18" t="s">
        <v>90</v>
      </c>
      <c r="D12" s="16"/>
      <c r="E12" s="19" t="s">
        <v>81</v>
      </c>
    </row>
    <row r="13" customFormat="false" ht="15" hidden="false" customHeight="false" outlineLevel="0" collapsed="false">
      <c r="A13" s="13"/>
      <c r="B13" s="13"/>
      <c r="C13" s="18" t="s">
        <v>91</v>
      </c>
      <c r="D13" s="16"/>
      <c r="E13" s="13"/>
    </row>
    <row r="14" customFormat="false" ht="15" hidden="false" customHeight="false" outlineLevel="0" collapsed="false">
      <c r="A14" s="11" t="s">
        <v>92</v>
      </c>
      <c r="B14" s="12"/>
      <c r="C14" s="12"/>
      <c r="D14" s="12"/>
      <c r="E14" s="12"/>
    </row>
    <row r="15" customFormat="false" ht="27.75" hidden="false" customHeight="true" outlineLevel="0" collapsed="false">
      <c r="A15" s="13"/>
      <c r="B15" s="14" t="s">
        <v>93</v>
      </c>
      <c r="C15" s="15" t="s">
        <v>94</v>
      </c>
      <c r="D15" s="16"/>
      <c r="E15" s="17"/>
    </row>
    <row r="16" customFormat="false" ht="27.75" hidden="false" customHeight="true" outlineLevel="0" collapsed="false">
      <c r="A16" s="13"/>
      <c r="B16" s="14" t="s">
        <v>95</v>
      </c>
      <c r="C16" s="15" t="s">
        <v>96</v>
      </c>
      <c r="D16" s="16"/>
      <c r="E16" s="17"/>
    </row>
    <row r="17" customFormat="false" ht="27.75" hidden="false" customHeight="true" outlineLevel="0" collapsed="false">
      <c r="A17" s="13"/>
      <c r="B17" s="14" t="s">
        <v>97</v>
      </c>
      <c r="C17" s="15" t="s">
        <v>98</v>
      </c>
      <c r="D17" s="16"/>
      <c r="E17" s="17"/>
    </row>
    <row r="18" customFormat="false" ht="27.75" hidden="false" customHeight="true" outlineLevel="0" collapsed="false">
      <c r="A18" s="13"/>
      <c r="B18" s="14" t="s">
        <v>99</v>
      </c>
      <c r="C18" s="15" t="s">
        <v>100</v>
      </c>
      <c r="D18" s="16"/>
      <c r="E18" s="17"/>
    </row>
    <row r="19" customFormat="false" ht="27.75" hidden="false" customHeight="true" outlineLevel="0" collapsed="false">
      <c r="A19" s="13"/>
      <c r="B19" s="14" t="s">
        <v>101</v>
      </c>
      <c r="C19" s="15" t="s">
        <v>102</v>
      </c>
      <c r="D19" s="16"/>
      <c r="E19" s="17"/>
    </row>
    <row r="20" customFormat="false" ht="27.75" hidden="false" customHeight="true" outlineLevel="0" collapsed="false">
      <c r="A20" s="13"/>
      <c r="B20" s="14" t="s">
        <v>103</v>
      </c>
      <c r="C20" s="15" t="s">
        <v>104</v>
      </c>
      <c r="D20" s="16"/>
      <c r="E20" s="17"/>
    </row>
    <row r="21" customFormat="false" ht="15" hidden="false" customHeight="false" outlineLevel="0" collapsed="false">
      <c r="A21" s="13"/>
      <c r="B21" s="13"/>
      <c r="C21" s="18" t="s">
        <v>105</v>
      </c>
      <c r="D21" s="16"/>
      <c r="E21" s="19" t="s">
        <v>81</v>
      </c>
    </row>
    <row r="22" customFormat="false" ht="15" hidden="false" customHeight="false" outlineLevel="0" collapsed="false">
      <c r="A22" s="13"/>
      <c r="B22" s="13"/>
      <c r="C22" s="18" t="s">
        <v>106</v>
      </c>
      <c r="D22" s="16"/>
      <c r="E22" s="13"/>
    </row>
    <row r="23" customFormat="false" ht="15" hidden="false" customHeight="false" outlineLevel="0" collapsed="false">
      <c r="A23" s="11" t="s">
        <v>107</v>
      </c>
      <c r="B23" s="12"/>
      <c r="C23" s="12"/>
      <c r="D23" s="12"/>
      <c r="E23" s="12"/>
    </row>
    <row r="24" customFormat="false" ht="27.75" hidden="false" customHeight="true" outlineLevel="0" collapsed="false">
      <c r="A24" s="13"/>
      <c r="B24" s="14" t="s">
        <v>108</v>
      </c>
      <c r="C24" s="15" t="s">
        <v>109</v>
      </c>
      <c r="D24" s="16"/>
      <c r="E24" s="17"/>
    </row>
    <row r="25" customFormat="false" ht="27.75" hidden="false" customHeight="true" outlineLevel="0" collapsed="false">
      <c r="A25" s="13"/>
      <c r="B25" s="14" t="s">
        <v>110</v>
      </c>
      <c r="C25" s="15" t="s">
        <v>111</v>
      </c>
      <c r="D25" s="16"/>
      <c r="E25" s="17"/>
    </row>
    <row r="26" customFormat="false" ht="27.75" hidden="false" customHeight="true" outlineLevel="0" collapsed="false">
      <c r="A26" s="13"/>
      <c r="B26" s="14" t="s">
        <v>112</v>
      </c>
      <c r="C26" s="15" t="s">
        <v>113</v>
      </c>
      <c r="D26" s="16"/>
      <c r="E26" s="17"/>
    </row>
    <row r="27" customFormat="false" ht="27.75" hidden="false" customHeight="true" outlineLevel="0" collapsed="false">
      <c r="A27" s="13"/>
      <c r="B27" s="14" t="s">
        <v>114</v>
      </c>
      <c r="C27" s="15" t="s">
        <v>115</v>
      </c>
      <c r="D27" s="16"/>
      <c r="E27" s="17"/>
    </row>
    <row r="28" customFormat="false" ht="27.75" hidden="false" customHeight="true" outlineLevel="0" collapsed="false">
      <c r="A28" s="13"/>
      <c r="B28" s="14" t="s">
        <v>116</v>
      </c>
      <c r="C28" s="15" t="s">
        <v>117</v>
      </c>
      <c r="D28" s="16"/>
      <c r="E28" s="17"/>
    </row>
    <row r="29" customFormat="false" ht="27.75" hidden="false" customHeight="true" outlineLevel="0" collapsed="false">
      <c r="A29" s="13"/>
      <c r="B29" s="14" t="s">
        <v>118</v>
      </c>
      <c r="C29" s="15" t="s">
        <v>119</v>
      </c>
      <c r="D29" s="16"/>
      <c r="E29" s="17"/>
    </row>
    <row r="30" customFormat="false" ht="27.75" hidden="false" customHeight="true" outlineLevel="0" collapsed="false">
      <c r="A30" s="13"/>
      <c r="B30" s="14" t="s">
        <v>120</v>
      </c>
      <c r="C30" s="15" t="s">
        <v>121</v>
      </c>
      <c r="D30" s="16"/>
      <c r="E30" s="17"/>
    </row>
    <row r="31" customFormat="false" ht="27.75" hidden="false" customHeight="true" outlineLevel="0" collapsed="false">
      <c r="A31" s="13"/>
      <c r="B31" s="14" t="s">
        <v>122</v>
      </c>
      <c r="C31" s="15" t="s">
        <v>123</v>
      </c>
      <c r="D31" s="16"/>
      <c r="E31" s="17"/>
    </row>
    <row r="32" customFormat="false" ht="27.75" hidden="false" customHeight="true" outlineLevel="0" collapsed="false">
      <c r="A32" s="13"/>
      <c r="B32" s="14" t="s">
        <v>124</v>
      </c>
      <c r="C32" s="15" t="s">
        <v>125</v>
      </c>
      <c r="D32" s="16"/>
      <c r="E32" s="17"/>
    </row>
    <row r="33" customFormat="false" ht="15" hidden="false" customHeight="false" outlineLevel="0" collapsed="false">
      <c r="A33" s="13"/>
      <c r="B33" s="13"/>
      <c r="C33" s="18" t="s">
        <v>126</v>
      </c>
      <c r="D33" s="16"/>
      <c r="E33" s="19" t="s">
        <v>81</v>
      </c>
    </row>
    <row r="34" customFormat="false" ht="15" hidden="false" customHeight="false" outlineLevel="0" collapsed="false">
      <c r="A34" s="12"/>
      <c r="B34" s="12"/>
      <c r="C34" s="20" t="s">
        <v>127</v>
      </c>
      <c r="D34" s="16"/>
      <c r="E34" s="21" t="s">
        <v>128</v>
      </c>
    </row>
    <row r="35" customFormat="false" ht="15" hidden="false" customHeight="false" outlineLevel="0" collapsed="false">
      <c r="A35" s="12"/>
      <c r="B35" s="12"/>
      <c r="C35" s="20" t="s">
        <v>129</v>
      </c>
      <c r="D35" s="16"/>
      <c r="E35" s="12"/>
    </row>
    <row r="37" customFormat="false" ht="15" hidden="false" customHeight="false" outlineLevel="0" collapsed="false">
      <c r="A37" s="1" t="s">
        <v>130</v>
      </c>
      <c r="C37" s="10" t="s">
        <v>131</v>
      </c>
    </row>
    <row r="38" customFormat="false" ht="15" hidden="false" customHeight="false" outlineLevel="0" collapsed="false">
      <c r="C38" s="10" t="s">
        <v>132</v>
      </c>
    </row>
    <row r="39" customFormat="false" ht="15" hidden="false" customHeight="false" outlineLevel="0" collapsed="false">
      <c r="C39" s="10" t="s">
        <v>133</v>
      </c>
    </row>
  </sheetData>
  <dataValidations count="3">
    <dataValidation allowBlank="true" errorStyle="stop" operator="between" showDropDown="false" showErrorMessage="false" showInputMessage="false" sqref="D4:D5 D9:D11 D15:D20 D24:D32" type="list">
      <formula1>"Y,PY,PN,N,NI,NA"</formula1>
      <formula2>0</formula2>
    </dataValidation>
    <dataValidation allowBlank="true" errorStyle="stop" operator="between" showDropDown="false" showErrorMessage="false" showInputMessage="false" sqref="D6 D12 D21 D33:D34" type="list">
      <formula1>"Low,High,Unclear"</formula1>
      <formula2>0</formula2>
    </dataValidation>
    <dataValidation allowBlank="true" errorStyle="stop" operator="between" showDropDown="false" showErrorMessage="false" showInputMessage="false" sqref="D7 D13 D22 D35" type="list">
      <formula1>"Low,High,Unclear"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66"/>
    <col collapsed="false" customWidth="true" hidden="false" outlineLevel="0" max="4" min="4" style="0" width="13"/>
    <col collapsed="false" customWidth="true" hidden="false" outlineLevel="0" max="5" min="5" style="0" width="30"/>
  </cols>
  <sheetData>
    <row r="1" customFormat="false" ht="33.75" hidden="false" customHeight="true" outlineLevel="0" collapsed="false">
      <c r="A1" s="7" t="s">
        <v>35</v>
      </c>
      <c r="B1" s="7" t="s">
        <v>70</v>
      </c>
      <c r="C1" s="7" t="s">
        <v>134</v>
      </c>
      <c r="D1" s="7" t="s">
        <v>135</v>
      </c>
      <c r="E1" s="7" t="s">
        <v>136</v>
      </c>
    </row>
    <row r="2" customFormat="false" ht="15" hidden="false" customHeight="false" outlineLevel="0" collapsed="false">
      <c r="A2" s="1" t="s">
        <v>55</v>
      </c>
      <c r="C2" s="10" t="s">
        <v>74</v>
      </c>
    </row>
    <row r="3" customFormat="false" ht="15" hidden="false" customHeight="false" outlineLevel="0" collapsed="false">
      <c r="A3" s="11" t="s">
        <v>137</v>
      </c>
      <c r="B3" s="12"/>
      <c r="C3" s="12"/>
      <c r="D3" s="12"/>
      <c r="E3" s="12"/>
    </row>
    <row r="4" customFormat="false" ht="25.5" hidden="false" customHeight="true" outlineLevel="0" collapsed="false">
      <c r="A4" s="13"/>
      <c r="B4" s="14" t="s">
        <v>138</v>
      </c>
      <c r="C4" s="15" t="s">
        <v>139</v>
      </c>
      <c r="D4" s="16"/>
      <c r="E4" s="22"/>
    </row>
    <row r="5" customFormat="false" ht="25.5" hidden="false" customHeight="true" outlineLevel="0" collapsed="false">
      <c r="A5" s="13"/>
      <c r="B5" s="14" t="s">
        <v>140</v>
      </c>
      <c r="C5" s="15" t="s">
        <v>141</v>
      </c>
      <c r="D5" s="16"/>
      <c r="E5" s="22"/>
    </row>
    <row r="6" customFormat="false" ht="15" hidden="false" customHeight="false" outlineLevel="0" collapsed="false">
      <c r="A6" s="11" t="s">
        <v>142</v>
      </c>
      <c r="B6" s="12"/>
      <c r="C6" s="12"/>
      <c r="D6" s="12"/>
      <c r="E6" s="12"/>
    </row>
    <row r="7" customFormat="false" ht="25.5" hidden="false" customHeight="true" outlineLevel="0" collapsed="false">
      <c r="A7" s="13"/>
      <c r="B7" s="14" t="s">
        <v>143</v>
      </c>
      <c r="C7" s="15" t="s">
        <v>144</v>
      </c>
      <c r="D7" s="16"/>
      <c r="E7" s="22"/>
    </row>
    <row r="8" customFormat="false" ht="25.5" hidden="false" customHeight="true" outlineLevel="0" collapsed="false">
      <c r="A8" s="13"/>
      <c r="B8" s="14" t="s">
        <v>145</v>
      </c>
      <c r="C8" s="15" t="s">
        <v>146</v>
      </c>
      <c r="D8" s="16"/>
      <c r="E8" s="22"/>
    </row>
    <row r="9" customFormat="false" ht="15" hidden="false" customHeight="false" outlineLevel="0" collapsed="false">
      <c r="A9" s="11" t="s">
        <v>147</v>
      </c>
      <c r="B9" s="12"/>
      <c r="C9" s="12"/>
      <c r="D9" s="12"/>
      <c r="E9" s="12"/>
    </row>
    <row r="10" customFormat="false" ht="25.5" hidden="false" customHeight="true" outlineLevel="0" collapsed="false">
      <c r="A10" s="13"/>
      <c r="B10" s="14" t="s">
        <v>148</v>
      </c>
      <c r="C10" s="15" t="s">
        <v>149</v>
      </c>
      <c r="D10" s="16"/>
      <c r="E10" s="22"/>
    </row>
    <row r="11" customFormat="false" ht="25.5" hidden="false" customHeight="true" outlineLevel="0" collapsed="false">
      <c r="A11" s="13"/>
      <c r="B11" s="14" t="s">
        <v>150</v>
      </c>
      <c r="C11" s="15" t="s">
        <v>151</v>
      </c>
      <c r="D11" s="16"/>
      <c r="E11" s="22"/>
    </row>
    <row r="12" customFormat="false" ht="25.5" hidden="false" customHeight="true" outlineLevel="0" collapsed="false">
      <c r="A12" s="13"/>
      <c r="B12" s="14" t="s">
        <v>152</v>
      </c>
      <c r="C12" s="15" t="s">
        <v>153</v>
      </c>
      <c r="D12" s="16"/>
      <c r="E12" s="22"/>
    </row>
    <row r="13" customFormat="false" ht="25.5" hidden="false" customHeight="true" outlineLevel="0" collapsed="false">
      <c r="A13" s="13"/>
      <c r="B13" s="14" t="s">
        <v>154</v>
      </c>
      <c r="C13" s="15" t="s">
        <v>155</v>
      </c>
      <c r="D13" s="16"/>
      <c r="E13" s="22"/>
    </row>
    <row r="14" customFormat="false" ht="25.5" hidden="false" customHeight="true" outlineLevel="0" collapsed="false">
      <c r="A14" s="13"/>
      <c r="B14" s="14" t="s">
        <v>156</v>
      </c>
      <c r="C14" s="15" t="s">
        <v>157</v>
      </c>
      <c r="D14" s="16"/>
      <c r="E14" s="22"/>
    </row>
    <row r="15" customFormat="false" ht="25.5" hidden="false" customHeight="true" outlineLevel="0" collapsed="false">
      <c r="A15" s="13"/>
      <c r="B15" s="14" t="s">
        <v>158</v>
      </c>
      <c r="C15" s="15" t="s">
        <v>159</v>
      </c>
      <c r="D15" s="16"/>
      <c r="E15" s="22"/>
    </row>
    <row r="16" customFormat="false" ht="25.5" hidden="false" customHeight="true" outlineLevel="0" collapsed="false">
      <c r="A16" s="13"/>
      <c r="B16" s="14" t="s">
        <v>160</v>
      </c>
      <c r="C16" s="15" t="s">
        <v>161</v>
      </c>
      <c r="D16" s="16"/>
      <c r="E16" s="22"/>
    </row>
    <row r="17" customFormat="false" ht="25.5" hidden="false" customHeight="true" outlineLevel="0" collapsed="false">
      <c r="A17" s="13"/>
      <c r="B17" s="14" t="s">
        <v>162</v>
      </c>
      <c r="C17" s="15" t="s">
        <v>163</v>
      </c>
      <c r="D17" s="16"/>
      <c r="E17" s="22"/>
    </row>
    <row r="18" customFormat="false" ht="15" hidden="false" customHeight="false" outlineLevel="0" collapsed="false">
      <c r="A18" s="11" t="s">
        <v>164</v>
      </c>
      <c r="B18" s="12"/>
      <c r="C18" s="12"/>
      <c r="D18" s="12"/>
      <c r="E18" s="12"/>
    </row>
    <row r="19" customFormat="false" ht="25.5" hidden="false" customHeight="true" outlineLevel="0" collapsed="false">
      <c r="A19" s="13"/>
      <c r="B19" s="14" t="s">
        <v>165</v>
      </c>
      <c r="C19" s="15" t="s">
        <v>166</v>
      </c>
      <c r="D19" s="16"/>
      <c r="E19" s="22"/>
    </row>
    <row r="20" customFormat="false" ht="25.5" hidden="false" customHeight="true" outlineLevel="0" collapsed="false">
      <c r="A20" s="13"/>
      <c r="B20" s="14" t="s">
        <v>167</v>
      </c>
      <c r="C20" s="15" t="s">
        <v>168</v>
      </c>
      <c r="D20" s="16"/>
      <c r="E20" s="22"/>
    </row>
    <row r="21" customFormat="false" ht="25.5" hidden="false" customHeight="true" outlineLevel="0" collapsed="false">
      <c r="A21" s="13"/>
      <c r="B21" s="14" t="s">
        <v>169</v>
      </c>
      <c r="C21" s="15" t="s">
        <v>170</v>
      </c>
      <c r="D21" s="16"/>
      <c r="E21" s="22"/>
    </row>
    <row r="22" customFormat="false" ht="25.5" hidden="false" customHeight="true" outlineLevel="0" collapsed="false">
      <c r="A22" s="13"/>
      <c r="B22" s="14" t="s">
        <v>171</v>
      </c>
      <c r="C22" s="15" t="s">
        <v>172</v>
      </c>
      <c r="D22" s="16"/>
      <c r="E22" s="22"/>
    </row>
    <row r="23" customFormat="false" ht="25.5" hidden="false" customHeight="true" outlineLevel="0" collapsed="false">
      <c r="A23" s="13"/>
      <c r="B23" s="14" t="s">
        <v>173</v>
      </c>
      <c r="C23" s="15" t="s">
        <v>174</v>
      </c>
      <c r="D23" s="16"/>
      <c r="E23" s="22"/>
    </row>
    <row r="24" customFormat="false" ht="25.5" hidden="false" customHeight="true" outlineLevel="0" collapsed="false">
      <c r="A24" s="13"/>
      <c r="B24" s="14" t="s">
        <v>175</v>
      </c>
      <c r="C24" s="15" t="s">
        <v>176</v>
      </c>
      <c r="D24" s="16"/>
      <c r="E24" s="22"/>
    </row>
    <row r="25" customFormat="false" ht="25.5" hidden="false" customHeight="true" outlineLevel="0" collapsed="false">
      <c r="A25" s="13"/>
      <c r="B25" s="14" t="s">
        <v>177</v>
      </c>
      <c r="C25" s="15" t="s">
        <v>178</v>
      </c>
      <c r="D25" s="16"/>
      <c r="E25" s="22"/>
    </row>
    <row r="26" customFormat="false" ht="25.5" hidden="false" customHeight="true" outlineLevel="0" collapsed="false">
      <c r="A26" s="13"/>
      <c r="B26" s="14" t="s">
        <v>179</v>
      </c>
      <c r="C26" s="15" t="s">
        <v>180</v>
      </c>
      <c r="D26" s="16"/>
      <c r="E26" s="22"/>
    </row>
    <row r="27" customFormat="false" ht="25.5" hidden="false" customHeight="true" outlineLevel="0" collapsed="false">
      <c r="A27" s="13"/>
      <c r="B27" s="14" t="s">
        <v>181</v>
      </c>
      <c r="C27" s="15" t="s">
        <v>182</v>
      </c>
      <c r="D27" s="16"/>
      <c r="E27" s="22"/>
    </row>
    <row r="28" customFormat="false" ht="25.5" hidden="false" customHeight="true" outlineLevel="0" collapsed="false">
      <c r="A28" s="13"/>
      <c r="B28" s="14" t="s">
        <v>183</v>
      </c>
      <c r="C28" s="15" t="s">
        <v>184</v>
      </c>
      <c r="D28" s="16"/>
      <c r="E28" s="22"/>
    </row>
    <row r="29" customFormat="false" ht="15" hidden="false" customHeight="false" outlineLevel="0" collapsed="false">
      <c r="A29" s="11" t="s">
        <v>185</v>
      </c>
      <c r="B29" s="12"/>
      <c r="C29" s="12"/>
      <c r="D29" s="12"/>
      <c r="E29" s="12"/>
    </row>
    <row r="30" customFormat="false" ht="25.5" hidden="false" customHeight="true" outlineLevel="0" collapsed="false">
      <c r="A30" s="13"/>
      <c r="B30" s="14" t="s">
        <v>186</v>
      </c>
      <c r="C30" s="15" t="s">
        <v>187</v>
      </c>
      <c r="D30" s="16"/>
      <c r="E30" s="22"/>
    </row>
    <row r="31" customFormat="false" ht="25.5" hidden="false" customHeight="true" outlineLevel="0" collapsed="false">
      <c r="A31" s="13"/>
      <c r="B31" s="14" t="s">
        <v>188</v>
      </c>
      <c r="C31" s="15" t="s">
        <v>189</v>
      </c>
      <c r="D31" s="16"/>
      <c r="E31" s="22"/>
    </row>
    <row r="32" customFormat="false" ht="25.5" hidden="false" customHeight="true" outlineLevel="0" collapsed="false">
      <c r="A32" s="13"/>
      <c r="B32" s="14" t="s">
        <v>190</v>
      </c>
      <c r="C32" s="15" t="s">
        <v>191</v>
      </c>
      <c r="D32" s="16"/>
      <c r="E32" s="22"/>
    </row>
    <row r="33" customFormat="false" ht="25.5" hidden="false" customHeight="true" outlineLevel="0" collapsed="false">
      <c r="A33" s="13"/>
      <c r="B33" s="14" t="s">
        <v>192</v>
      </c>
      <c r="C33" s="15" t="s">
        <v>193</v>
      </c>
      <c r="D33" s="16"/>
      <c r="E33" s="22"/>
    </row>
    <row r="34" customFormat="false" ht="25.5" hidden="false" customHeight="true" outlineLevel="0" collapsed="false">
      <c r="A34" s="13"/>
      <c r="B34" s="14" t="s">
        <v>194</v>
      </c>
      <c r="C34" s="15" t="s">
        <v>195</v>
      </c>
      <c r="D34" s="16"/>
      <c r="E34" s="22"/>
    </row>
    <row r="35" customFormat="false" ht="15" hidden="false" customHeight="false" outlineLevel="0" collapsed="false">
      <c r="A35" s="11" t="s">
        <v>196</v>
      </c>
      <c r="B35" s="12"/>
      <c r="C35" s="12"/>
      <c r="D35" s="12"/>
      <c r="E35" s="12"/>
    </row>
    <row r="36" customFormat="false" ht="25.5" hidden="false" customHeight="true" outlineLevel="0" collapsed="false">
      <c r="A36" s="13"/>
      <c r="B36" s="14" t="s">
        <v>197</v>
      </c>
      <c r="C36" s="15" t="s">
        <v>198</v>
      </c>
      <c r="D36" s="16"/>
      <c r="E36" s="22"/>
    </row>
    <row r="37" customFormat="false" ht="25.5" hidden="false" customHeight="true" outlineLevel="0" collapsed="false">
      <c r="A37" s="13"/>
      <c r="B37" s="14" t="s">
        <v>199</v>
      </c>
      <c r="C37" s="15" t="s">
        <v>200</v>
      </c>
      <c r="D37" s="16"/>
      <c r="E37" s="22"/>
    </row>
    <row r="38" customFormat="false" ht="25.5" hidden="false" customHeight="true" outlineLevel="0" collapsed="false">
      <c r="A38" s="13"/>
      <c r="B38" s="14" t="s">
        <v>201</v>
      </c>
      <c r="C38" s="15" t="s">
        <v>202</v>
      </c>
      <c r="D38" s="16"/>
      <c r="E38" s="22"/>
    </row>
    <row r="39" customFormat="false" ht="25.5" hidden="false" customHeight="true" outlineLevel="0" collapsed="false">
      <c r="A39" s="13"/>
      <c r="B39" s="14" t="s">
        <v>203</v>
      </c>
      <c r="C39" s="15" t="s">
        <v>204</v>
      </c>
      <c r="D39" s="16"/>
      <c r="E39" s="22"/>
    </row>
    <row r="40" customFormat="false" ht="25.5" hidden="false" customHeight="true" outlineLevel="0" collapsed="false">
      <c r="A40" s="13"/>
      <c r="B40" s="14" t="s">
        <v>205</v>
      </c>
      <c r="C40" s="15" t="s">
        <v>206</v>
      </c>
      <c r="D40" s="16"/>
      <c r="E40" s="22"/>
    </row>
    <row r="41" customFormat="false" ht="15" hidden="false" customHeight="false" outlineLevel="0" collapsed="false">
      <c r="A41" s="11" t="s">
        <v>207</v>
      </c>
      <c r="B41" s="12"/>
      <c r="C41" s="12"/>
      <c r="D41" s="12"/>
      <c r="E41" s="12"/>
    </row>
    <row r="42" customFormat="false" ht="25.5" hidden="false" customHeight="true" outlineLevel="0" collapsed="false">
      <c r="A42" s="13"/>
      <c r="B42" s="14" t="s">
        <v>208</v>
      </c>
      <c r="C42" s="15" t="s">
        <v>209</v>
      </c>
      <c r="D42" s="16"/>
      <c r="E42" s="22"/>
    </row>
    <row r="43" customFormat="false" ht="25.5" hidden="false" customHeight="true" outlineLevel="0" collapsed="false">
      <c r="A43" s="13"/>
      <c r="B43" s="14" t="s">
        <v>210</v>
      </c>
      <c r="C43" s="15" t="s">
        <v>211</v>
      </c>
      <c r="D43" s="16"/>
      <c r="E43" s="22"/>
    </row>
    <row r="45" customFormat="false" ht="15" hidden="false" customHeight="false" outlineLevel="0" collapsed="false">
      <c r="A45" s="1" t="s">
        <v>212</v>
      </c>
      <c r="C45" s="10" t="s">
        <v>213</v>
      </c>
    </row>
    <row r="46" customFormat="false" ht="15" hidden="false" customHeight="false" outlineLevel="0" collapsed="false">
      <c r="C46" s="10" t="s">
        <v>214</v>
      </c>
    </row>
    <row r="47" customFormat="false" ht="32.8" hidden="false" customHeight="false" outlineLevel="0" collapsed="false">
      <c r="C47" s="8" t="s">
        <v>215</v>
      </c>
    </row>
  </sheetData>
  <dataValidations count="1">
    <dataValidation allowBlank="true" errorStyle="stop" operator="between" showDropDown="false" showErrorMessage="false" showInputMessage="false" sqref="D4:D5 D7:D8 D10:D17 D19:D28 D30:D34 D36:D40 D42:D43" type="list">
      <formula1>"Yes,Partial,No,NA"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3" min="3" style="0" width="20"/>
    <col collapsed="false" customWidth="true" hidden="false" outlineLevel="0" max="4" min="4" style="0" width="15"/>
    <col collapsed="false" customWidth="true" hidden="false" outlineLevel="0" max="5" min="5" style="0" width="18"/>
    <col collapsed="false" customWidth="true" hidden="false" outlineLevel="0" max="7" min="6" style="0" width="12"/>
    <col collapsed="false" customWidth="true" hidden="false" outlineLevel="0" max="8" min="8" style="0" width="15"/>
    <col collapsed="false" customWidth="true" hidden="false" outlineLevel="0" max="9" min="9" style="0" width="13"/>
    <col collapsed="false" customWidth="true" hidden="false" outlineLevel="0" max="10" min="10" style="0" width="14"/>
    <col collapsed="false" customWidth="true" hidden="false" outlineLevel="0" max="11" min="11" style="0" width="16"/>
    <col collapsed="false" customWidth="true" hidden="false" outlineLevel="0" max="12" min="12" style="0" width="10"/>
    <col collapsed="false" customWidth="true" hidden="false" outlineLevel="0" max="13" min="13" style="0" width="13"/>
    <col collapsed="false" customWidth="true" hidden="false" outlineLevel="0" max="14" min="14" style="0" width="9"/>
    <col collapsed="false" customWidth="true" hidden="false" outlineLevel="0" max="15" min="15" style="0" width="11"/>
    <col collapsed="false" customWidth="true" hidden="false" outlineLevel="0" max="17" min="16" style="0" width="12"/>
    <col collapsed="false" customWidth="true" hidden="false" outlineLevel="0" max="18" min="18" style="0" width="13"/>
    <col collapsed="false" customWidth="true" hidden="false" outlineLevel="0" max="19" min="19" style="0" width="14"/>
    <col collapsed="false" customWidth="true" hidden="false" outlineLevel="0" max="20" min="20" style="0" width="34"/>
  </cols>
  <sheetData>
    <row r="1" customFormat="false" ht="33.75" hidden="false" customHeight="true" outlineLevel="0" collapsed="false">
      <c r="A1" s="7" t="s">
        <v>35</v>
      </c>
      <c r="B1" s="7" t="s">
        <v>216</v>
      </c>
      <c r="C1" s="7" t="s">
        <v>217</v>
      </c>
      <c r="D1" s="7" t="s">
        <v>218</v>
      </c>
      <c r="E1" s="7" t="s">
        <v>219</v>
      </c>
      <c r="F1" s="7" t="s">
        <v>220</v>
      </c>
      <c r="G1" s="7" t="s">
        <v>221</v>
      </c>
      <c r="H1" s="7" t="s">
        <v>222</v>
      </c>
      <c r="I1" s="7" t="s">
        <v>48</v>
      </c>
      <c r="J1" s="7" t="s">
        <v>223</v>
      </c>
      <c r="K1" s="7" t="s">
        <v>224</v>
      </c>
      <c r="L1" s="7" t="s">
        <v>225</v>
      </c>
      <c r="M1" s="7" t="s">
        <v>50</v>
      </c>
      <c r="N1" s="7" t="s">
        <v>226</v>
      </c>
      <c r="O1" s="7" t="s">
        <v>227</v>
      </c>
      <c r="P1" s="7" t="s">
        <v>228</v>
      </c>
      <c r="Q1" s="7" t="s">
        <v>229</v>
      </c>
      <c r="R1" s="7" t="s">
        <v>230</v>
      </c>
      <c r="S1" s="7" t="s">
        <v>231</v>
      </c>
      <c r="T1" s="7" t="s">
        <v>232</v>
      </c>
    </row>
    <row r="2" customFormat="false" ht="15" hidden="false" customHeight="false" outlineLevel="0" collapsed="false">
      <c r="A2" s="8" t="s">
        <v>55</v>
      </c>
      <c r="B2" s="8" t="s">
        <v>233</v>
      </c>
      <c r="C2" s="8" t="s">
        <v>234</v>
      </c>
      <c r="D2" s="8" t="s">
        <v>233</v>
      </c>
      <c r="E2" s="8"/>
      <c r="F2" s="8" t="s">
        <v>235</v>
      </c>
      <c r="G2" s="8" t="s">
        <v>233</v>
      </c>
      <c r="H2" s="8" t="s">
        <v>235</v>
      </c>
      <c r="I2" s="8" t="n">
        <v>31.2</v>
      </c>
      <c r="J2" s="8" t="s">
        <v>235</v>
      </c>
      <c r="K2" s="8" t="s">
        <v>236</v>
      </c>
      <c r="L2" s="8" t="n">
        <v>160</v>
      </c>
      <c r="M2" s="8" t="n">
        <v>24</v>
      </c>
      <c r="N2" s="3" t="n">
        <f aca="false">IFERROR(L2/M2,"")</f>
        <v>6.66666666666667</v>
      </c>
      <c r="O2" s="3" t="str">
        <f aca="false">IF(N2="","",IF(N2&gt;=200,"Yes","No"))</f>
        <v>No</v>
      </c>
      <c r="P2" s="8" t="s">
        <v>233</v>
      </c>
      <c r="Q2" s="8" t="s">
        <v>233</v>
      </c>
      <c r="R2" s="8" t="n">
        <v>87.4</v>
      </c>
      <c r="S2" s="8" t="s">
        <v>234</v>
      </c>
      <c r="T2" s="8" t="s">
        <v>69</v>
      </c>
    </row>
    <row r="3" customFormat="false" ht="15" hidden="false" customHeight="false" outlineLevel="0" collapsed="false">
      <c r="A3" s="9"/>
      <c r="B3" s="9"/>
      <c r="C3" s="9"/>
      <c r="D3" s="9"/>
      <c r="E3" s="9"/>
      <c r="F3" s="9"/>
      <c r="G3" s="9"/>
      <c r="H3" s="9"/>
      <c r="I3" s="9"/>
      <c r="J3" s="9"/>
      <c r="K3" s="9"/>
      <c r="L3" s="9"/>
      <c r="M3" s="9"/>
      <c r="N3" s="14" t="str">
        <f aca="false">IFERROR(L3/M3,"")</f>
        <v/>
      </c>
      <c r="O3" s="14" t="str">
        <f aca="false">IF(N3="","",IF(N3&gt;=200,"Yes","No"))</f>
        <v/>
      </c>
      <c r="P3" s="9"/>
      <c r="Q3" s="9"/>
      <c r="R3" s="9"/>
      <c r="S3" s="9"/>
      <c r="T3" s="9"/>
    </row>
    <row r="4" customFormat="false" ht="15" hidden="false" customHeight="false" outlineLevel="0" collapsed="false">
      <c r="A4" s="9"/>
      <c r="B4" s="9"/>
      <c r="C4" s="9"/>
      <c r="D4" s="9"/>
      <c r="E4" s="9"/>
      <c r="F4" s="9"/>
      <c r="G4" s="9"/>
      <c r="H4" s="9"/>
      <c r="I4" s="9"/>
      <c r="J4" s="9"/>
      <c r="K4" s="9"/>
      <c r="L4" s="9"/>
      <c r="M4" s="9"/>
      <c r="N4" s="14" t="str">
        <f aca="false">IFERROR(L4/M4,"")</f>
        <v/>
      </c>
      <c r="O4" s="14" t="str">
        <f aca="false">IF(N4="","",IF(N4&gt;=200,"Yes","No"))</f>
        <v/>
      </c>
      <c r="P4" s="9"/>
      <c r="Q4" s="9"/>
      <c r="R4" s="9"/>
      <c r="S4" s="9"/>
      <c r="T4" s="9"/>
    </row>
    <row r="5" customFormat="false" ht="15" hidden="false" customHeight="false" outlineLevel="0" collapsed="false">
      <c r="A5" s="9"/>
      <c r="B5" s="9"/>
      <c r="C5" s="9"/>
      <c r="D5" s="9"/>
      <c r="E5" s="9"/>
      <c r="F5" s="9"/>
      <c r="G5" s="9"/>
      <c r="H5" s="9"/>
      <c r="I5" s="9"/>
      <c r="J5" s="9"/>
      <c r="K5" s="9"/>
      <c r="L5" s="9"/>
      <c r="M5" s="9"/>
      <c r="N5" s="14" t="str">
        <f aca="false">IFERROR(L5/M5,"")</f>
        <v/>
      </c>
      <c r="O5" s="14" t="str">
        <f aca="false">IF(N5="","",IF(N5&gt;=200,"Yes","No"))</f>
        <v/>
      </c>
      <c r="P5" s="9"/>
      <c r="Q5" s="9"/>
      <c r="R5" s="9"/>
      <c r="S5" s="9"/>
      <c r="T5" s="9"/>
    </row>
    <row r="6" customFormat="false" ht="15" hidden="false" customHeight="false" outlineLevel="0" collapsed="false">
      <c r="A6" s="9"/>
      <c r="B6" s="9"/>
      <c r="C6" s="9"/>
      <c r="D6" s="9"/>
      <c r="E6" s="9"/>
      <c r="F6" s="9"/>
      <c r="G6" s="9"/>
      <c r="H6" s="9"/>
      <c r="I6" s="9"/>
      <c r="J6" s="9"/>
      <c r="K6" s="9"/>
      <c r="L6" s="9"/>
      <c r="M6" s="9"/>
      <c r="N6" s="14" t="str">
        <f aca="false">IFERROR(L6/M6,"")</f>
        <v/>
      </c>
      <c r="O6" s="14" t="str">
        <f aca="false">IF(N6="","",IF(N6&gt;=200,"Yes","No"))</f>
        <v/>
      </c>
      <c r="P6" s="9"/>
      <c r="Q6" s="9"/>
      <c r="R6" s="9"/>
      <c r="S6" s="9"/>
      <c r="T6" s="9"/>
    </row>
    <row r="7" customFormat="false" ht="15" hidden="false" customHeight="false" outlineLevel="0" collapsed="false">
      <c r="A7" s="9"/>
      <c r="B7" s="9"/>
      <c r="C7" s="9"/>
      <c r="D7" s="9"/>
      <c r="E7" s="9"/>
      <c r="F7" s="9"/>
      <c r="G7" s="9"/>
      <c r="H7" s="9"/>
      <c r="I7" s="9"/>
      <c r="J7" s="9"/>
      <c r="K7" s="9"/>
      <c r="L7" s="9"/>
      <c r="M7" s="9"/>
      <c r="N7" s="14" t="str">
        <f aca="false">IFERROR(L7/M7,"")</f>
        <v/>
      </c>
      <c r="O7" s="14" t="str">
        <f aca="false">IF(N7="","",IF(N7&gt;=200,"Yes","No"))</f>
        <v/>
      </c>
      <c r="P7" s="9"/>
      <c r="Q7" s="9"/>
      <c r="R7" s="9"/>
      <c r="S7" s="9"/>
      <c r="T7" s="9"/>
    </row>
    <row r="8" customFormat="false" ht="15" hidden="false" customHeight="false" outlineLevel="0" collapsed="false">
      <c r="A8" s="9"/>
      <c r="B8" s="9"/>
      <c r="C8" s="9"/>
      <c r="D8" s="9"/>
      <c r="E8" s="9"/>
      <c r="F8" s="9"/>
      <c r="G8" s="9"/>
      <c r="H8" s="9"/>
      <c r="I8" s="9"/>
      <c r="J8" s="9"/>
      <c r="K8" s="9"/>
      <c r="L8" s="9"/>
      <c r="M8" s="9"/>
      <c r="N8" s="14" t="str">
        <f aca="false">IFERROR(L8/M8,"")</f>
        <v/>
      </c>
      <c r="O8" s="14" t="str">
        <f aca="false">IF(N8="","",IF(N8&gt;=200,"Yes","No"))</f>
        <v/>
      </c>
      <c r="P8" s="9"/>
      <c r="Q8" s="9"/>
      <c r="R8" s="9"/>
      <c r="S8" s="9"/>
      <c r="T8" s="9"/>
    </row>
    <row r="9" customFormat="false" ht="15" hidden="false" customHeight="false" outlineLevel="0" collapsed="false">
      <c r="A9" s="9"/>
      <c r="B9" s="9"/>
      <c r="C9" s="9"/>
      <c r="D9" s="9"/>
      <c r="E9" s="9"/>
      <c r="F9" s="9"/>
      <c r="G9" s="9"/>
      <c r="H9" s="9"/>
      <c r="I9" s="9"/>
      <c r="J9" s="9"/>
      <c r="K9" s="9"/>
      <c r="L9" s="9"/>
      <c r="M9" s="9"/>
      <c r="N9" s="14" t="str">
        <f aca="false">IFERROR(L9/M9,"")</f>
        <v/>
      </c>
      <c r="O9" s="14" t="str">
        <f aca="false">IF(N9="","",IF(N9&gt;=200,"Yes","No"))</f>
        <v/>
      </c>
      <c r="P9" s="9"/>
      <c r="Q9" s="9"/>
      <c r="R9" s="9"/>
      <c r="S9" s="9"/>
      <c r="T9" s="9"/>
    </row>
    <row r="10" customFormat="false" ht="15" hidden="false" customHeight="false" outlineLevel="0" collapsed="false">
      <c r="A10" s="9"/>
      <c r="B10" s="9"/>
      <c r="C10" s="9"/>
      <c r="D10" s="9"/>
      <c r="E10" s="9"/>
      <c r="F10" s="9"/>
      <c r="G10" s="9"/>
      <c r="H10" s="9"/>
      <c r="I10" s="9"/>
      <c r="J10" s="9"/>
      <c r="K10" s="9"/>
      <c r="L10" s="9"/>
      <c r="M10" s="9"/>
      <c r="N10" s="14" t="str">
        <f aca="false">IFERROR(L10/M10,"")</f>
        <v/>
      </c>
      <c r="O10" s="14" t="str">
        <f aca="false">IF(N10="","",IF(N10&gt;=200,"Yes","No"))</f>
        <v/>
      </c>
      <c r="P10" s="9"/>
      <c r="Q10" s="9"/>
      <c r="R10" s="9"/>
      <c r="S10" s="9"/>
      <c r="T10" s="9"/>
    </row>
    <row r="11" customFormat="false" ht="15" hidden="false" customHeight="false" outlineLevel="0" collapsed="false">
      <c r="A11" s="9"/>
      <c r="B11" s="9"/>
      <c r="C11" s="9"/>
      <c r="D11" s="9"/>
      <c r="E11" s="9"/>
      <c r="F11" s="9"/>
      <c r="G11" s="9"/>
      <c r="H11" s="9"/>
      <c r="I11" s="9"/>
      <c r="J11" s="9"/>
      <c r="K11" s="9"/>
      <c r="L11" s="9"/>
      <c r="M11" s="9"/>
      <c r="N11" s="14" t="str">
        <f aca="false">IFERROR(L11/M11,"")</f>
        <v/>
      </c>
      <c r="O11" s="14" t="str">
        <f aca="false">IF(N11="","",IF(N11&gt;=200,"Yes","No"))</f>
        <v/>
      </c>
      <c r="P11" s="9"/>
      <c r="Q11" s="9"/>
      <c r="R11" s="9"/>
      <c r="S11" s="9"/>
      <c r="T11" s="9"/>
    </row>
    <row r="12" customFormat="false" ht="15" hidden="false" customHeight="false" outlineLevel="0" collapsed="false">
      <c r="A12" s="9"/>
      <c r="B12" s="9"/>
      <c r="C12" s="9"/>
      <c r="D12" s="9"/>
      <c r="E12" s="9"/>
      <c r="F12" s="9"/>
      <c r="G12" s="9"/>
      <c r="H12" s="9"/>
      <c r="I12" s="9"/>
      <c r="J12" s="9"/>
      <c r="K12" s="9"/>
      <c r="L12" s="9"/>
      <c r="M12" s="9"/>
      <c r="N12" s="14" t="str">
        <f aca="false">IFERROR(L12/M12,"")</f>
        <v/>
      </c>
      <c r="O12" s="14" t="str">
        <f aca="false">IF(N12="","",IF(N12&gt;=200,"Yes","No"))</f>
        <v/>
      </c>
      <c r="P12" s="9"/>
      <c r="Q12" s="9"/>
      <c r="R12" s="9"/>
      <c r="S12" s="9"/>
      <c r="T12" s="9"/>
    </row>
    <row r="13" customFormat="false" ht="15" hidden="false" customHeight="false" outlineLevel="0" collapsed="false">
      <c r="A13" s="9"/>
      <c r="B13" s="9"/>
      <c r="C13" s="9"/>
      <c r="D13" s="9"/>
      <c r="E13" s="9"/>
      <c r="F13" s="9"/>
      <c r="G13" s="9"/>
      <c r="H13" s="9"/>
      <c r="I13" s="9"/>
      <c r="J13" s="9"/>
      <c r="K13" s="9"/>
      <c r="L13" s="9"/>
      <c r="M13" s="9"/>
      <c r="N13" s="14" t="str">
        <f aca="false">IFERROR(L13/M13,"")</f>
        <v/>
      </c>
      <c r="O13" s="14" t="str">
        <f aca="false">IF(N13="","",IF(N13&gt;=200,"Yes","No"))</f>
        <v/>
      </c>
      <c r="P13" s="9"/>
      <c r="Q13" s="9"/>
      <c r="R13" s="9"/>
      <c r="S13" s="9"/>
      <c r="T13" s="9"/>
    </row>
    <row r="14" customFormat="false" ht="15" hidden="false" customHeight="false" outlineLevel="0" collapsed="false">
      <c r="A14" s="9"/>
      <c r="B14" s="9"/>
      <c r="C14" s="9"/>
      <c r="D14" s="9"/>
      <c r="E14" s="9"/>
      <c r="F14" s="9"/>
      <c r="G14" s="9"/>
      <c r="H14" s="9"/>
      <c r="I14" s="9"/>
      <c r="J14" s="9"/>
      <c r="K14" s="9"/>
      <c r="L14" s="9"/>
      <c r="M14" s="9"/>
      <c r="N14" s="14" t="str">
        <f aca="false">IFERROR(L14/M14,"")</f>
        <v/>
      </c>
      <c r="O14" s="14" t="str">
        <f aca="false">IF(N14="","",IF(N14&gt;=200,"Yes","No"))</f>
        <v/>
      </c>
      <c r="P14" s="9"/>
      <c r="Q14" s="9"/>
      <c r="R14" s="9"/>
      <c r="S14" s="9"/>
      <c r="T14" s="9"/>
    </row>
    <row r="15" customFormat="false" ht="15" hidden="false" customHeight="false" outlineLevel="0" collapsed="false">
      <c r="A15" s="9"/>
      <c r="B15" s="9"/>
      <c r="C15" s="9"/>
      <c r="D15" s="9"/>
      <c r="E15" s="9"/>
      <c r="F15" s="9"/>
      <c r="G15" s="9"/>
      <c r="H15" s="9"/>
      <c r="I15" s="9"/>
      <c r="J15" s="9"/>
      <c r="K15" s="9"/>
      <c r="L15" s="9"/>
      <c r="M15" s="9"/>
      <c r="N15" s="14" t="str">
        <f aca="false">IFERROR(L15/M15,"")</f>
        <v/>
      </c>
      <c r="O15" s="14" t="str">
        <f aca="false">IF(N15="","",IF(N15&gt;=200,"Yes","No"))</f>
        <v/>
      </c>
      <c r="P15" s="9"/>
      <c r="Q15" s="9"/>
      <c r="R15" s="9"/>
      <c r="S15" s="9"/>
      <c r="T15" s="9"/>
    </row>
    <row r="16" customFormat="false" ht="15" hidden="false" customHeight="false" outlineLevel="0" collapsed="false">
      <c r="A16" s="9"/>
      <c r="B16" s="9"/>
      <c r="C16" s="9"/>
      <c r="D16" s="9"/>
      <c r="E16" s="9"/>
      <c r="F16" s="9"/>
      <c r="G16" s="9"/>
      <c r="H16" s="9"/>
      <c r="I16" s="9"/>
      <c r="J16" s="9"/>
      <c r="K16" s="9"/>
      <c r="L16" s="9"/>
      <c r="M16" s="9"/>
      <c r="N16" s="14" t="str">
        <f aca="false">IFERROR(L16/M16,"")</f>
        <v/>
      </c>
      <c r="O16" s="14" t="str">
        <f aca="false">IF(N16="","",IF(N16&gt;=200,"Yes","No"))</f>
        <v/>
      </c>
      <c r="P16" s="9"/>
      <c r="Q16" s="9"/>
      <c r="R16" s="9"/>
      <c r="S16" s="9"/>
      <c r="T16" s="9"/>
    </row>
    <row r="17" customFormat="false" ht="15" hidden="false" customHeight="false" outlineLevel="0" collapsed="false">
      <c r="A17" s="9"/>
      <c r="B17" s="9"/>
      <c r="C17" s="9"/>
      <c r="D17" s="9"/>
      <c r="E17" s="9"/>
      <c r="F17" s="9"/>
      <c r="G17" s="9"/>
      <c r="H17" s="9"/>
      <c r="I17" s="9"/>
      <c r="J17" s="9"/>
      <c r="K17" s="9"/>
      <c r="L17" s="9"/>
      <c r="M17" s="9"/>
      <c r="N17" s="14" t="str">
        <f aca="false">IFERROR(L17/M17,"")</f>
        <v/>
      </c>
      <c r="O17" s="14" t="str">
        <f aca="false">IF(N17="","",IF(N17&gt;=200,"Yes","No"))</f>
        <v/>
      </c>
      <c r="P17" s="9"/>
      <c r="Q17" s="9"/>
      <c r="R17" s="9"/>
      <c r="S17" s="9"/>
      <c r="T17" s="9"/>
    </row>
    <row r="18" customFormat="false" ht="15" hidden="false" customHeight="false" outlineLevel="0" collapsed="false">
      <c r="A18" s="9"/>
      <c r="B18" s="9"/>
      <c r="C18" s="9"/>
      <c r="D18" s="9"/>
      <c r="E18" s="9"/>
      <c r="F18" s="9"/>
      <c r="G18" s="9"/>
      <c r="H18" s="9"/>
      <c r="I18" s="9"/>
      <c r="J18" s="9"/>
      <c r="K18" s="9"/>
      <c r="L18" s="9"/>
      <c r="M18" s="9"/>
      <c r="N18" s="14" t="str">
        <f aca="false">IFERROR(L18/M18,"")</f>
        <v/>
      </c>
      <c r="O18" s="14" t="str">
        <f aca="false">IF(N18="","",IF(N18&gt;=200,"Yes","No"))</f>
        <v/>
      </c>
      <c r="P18" s="9"/>
      <c r="Q18" s="9"/>
      <c r="R18" s="9"/>
      <c r="S18" s="9"/>
      <c r="T18" s="9"/>
    </row>
    <row r="19" customFormat="false" ht="15" hidden="false" customHeight="false" outlineLevel="0" collapsed="false">
      <c r="A19" s="9"/>
      <c r="B19" s="9"/>
      <c r="C19" s="9"/>
      <c r="D19" s="9"/>
      <c r="E19" s="9"/>
      <c r="F19" s="9"/>
      <c r="G19" s="9"/>
      <c r="H19" s="9"/>
      <c r="I19" s="9"/>
      <c r="J19" s="9"/>
      <c r="K19" s="9"/>
      <c r="L19" s="9"/>
      <c r="M19" s="9"/>
      <c r="N19" s="14" t="str">
        <f aca="false">IFERROR(L19/M19,"")</f>
        <v/>
      </c>
      <c r="O19" s="14" t="str">
        <f aca="false">IF(N19="","",IF(N19&gt;=200,"Yes","No"))</f>
        <v/>
      </c>
      <c r="P19" s="9"/>
      <c r="Q19" s="9"/>
      <c r="R19" s="9"/>
      <c r="S19" s="9"/>
      <c r="T19" s="9"/>
    </row>
    <row r="20" customFormat="false" ht="15" hidden="false" customHeight="false" outlineLevel="0" collapsed="false">
      <c r="A20" s="9"/>
      <c r="B20" s="9"/>
      <c r="C20" s="9"/>
      <c r="D20" s="9"/>
      <c r="E20" s="9"/>
      <c r="F20" s="9"/>
      <c r="G20" s="9"/>
      <c r="H20" s="9"/>
      <c r="I20" s="9"/>
      <c r="J20" s="9"/>
      <c r="K20" s="9"/>
      <c r="L20" s="9"/>
      <c r="M20" s="9"/>
      <c r="N20" s="14" t="str">
        <f aca="false">IFERROR(L20/M20,"")</f>
        <v/>
      </c>
      <c r="O20" s="14" t="str">
        <f aca="false">IF(N20="","",IF(N20&gt;=200,"Yes","No"))</f>
        <v/>
      </c>
      <c r="P20" s="9"/>
      <c r="Q20" s="9"/>
      <c r="R20" s="9"/>
      <c r="S20" s="9"/>
      <c r="T20" s="9"/>
    </row>
    <row r="21" customFormat="false" ht="15" hidden="false" customHeight="false" outlineLevel="0" collapsed="false">
      <c r="A21" s="9"/>
      <c r="B21" s="9"/>
      <c r="C21" s="9"/>
      <c r="D21" s="9"/>
      <c r="E21" s="9"/>
      <c r="F21" s="9"/>
      <c r="G21" s="9"/>
      <c r="H21" s="9"/>
      <c r="I21" s="9"/>
      <c r="J21" s="9"/>
      <c r="K21" s="9"/>
      <c r="L21" s="9"/>
      <c r="M21" s="9"/>
      <c r="N21" s="14" t="str">
        <f aca="false">IFERROR(L21/M21,"")</f>
        <v/>
      </c>
      <c r="O21" s="14" t="str">
        <f aca="false">IF(N21="","",IF(N21&gt;=200,"Yes","No"))</f>
        <v/>
      </c>
      <c r="P21" s="9"/>
      <c r="Q21" s="9"/>
      <c r="R21" s="9"/>
      <c r="S21" s="9"/>
      <c r="T21" s="9"/>
    </row>
    <row r="22" customFormat="false" ht="15" hidden="false" customHeight="false" outlineLevel="0" collapsed="false">
      <c r="A22" s="9"/>
      <c r="B22" s="9"/>
      <c r="C22" s="9"/>
      <c r="D22" s="9"/>
      <c r="E22" s="9"/>
      <c r="F22" s="9"/>
      <c r="G22" s="9"/>
      <c r="H22" s="9"/>
      <c r="I22" s="9"/>
      <c r="J22" s="9"/>
      <c r="K22" s="9"/>
      <c r="L22" s="9"/>
      <c r="M22" s="9"/>
      <c r="N22" s="14" t="str">
        <f aca="false">IFERROR(L22/M22,"")</f>
        <v/>
      </c>
      <c r="O22" s="14" t="str">
        <f aca="false">IF(N22="","",IF(N22&gt;=200,"Yes","No"))</f>
        <v/>
      </c>
      <c r="P22" s="9"/>
      <c r="Q22" s="9"/>
      <c r="R22" s="9"/>
      <c r="S22" s="9"/>
      <c r="T22" s="9"/>
    </row>
    <row r="23" customFormat="false" ht="15" hidden="false" customHeight="false" outlineLevel="0" collapsed="false">
      <c r="A23" s="9"/>
      <c r="B23" s="9"/>
      <c r="C23" s="9"/>
      <c r="D23" s="9"/>
      <c r="E23" s="9"/>
      <c r="F23" s="9"/>
      <c r="G23" s="9"/>
      <c r="H23" s="9"/>
      <c r="I23" s="9"/>
      <c r="J23" s="9"/>
      <c r="K23" s="9"/>
      <c r="L23" s="9"/>
      <c r="M23" s="9"/>
      <c r="N23" s="14" t="str">
        <f aca="false">IFERROR(L23/M23,"")</f>
        <v/>
      </c>
      <c r="O23" s="14" t="str">
        <f aca="false">IF(N23="","",IF(N23&gt;=200,"Yes","No"))</f>
        <v/>
      </c>
      <c r="P23" s="9"/>
      <c r="Q23" s="9"/>
      <c r="R23" s="9"/>
      <c r="S23" s="9"/>
      <c r="T23" s="9"/>
    </row>
    <row r="24" customFormat="false" ht="15" hidden="false" customHeight="false" outlineLevel="0" collapsed="false">
      <c r="A24" s="9"/>
      <c r="B24" s="9"/>
      <c r="C24" s="9"/>
      <c r="D24" s="9"/>
      <c r="E24" s="9"/>
      <c r="F24" s="9"/>
      <c r="G24" s="9"/>
      <c r="H24" s="9"/>
      <c r="I24" s="9"/>
      <c r="J24" s="9"/>
      <c r="K24" s="9"/>
      <c r="L24" s="9"/>
      <c r="M24" s="9"/>
      <c r="N24" s="14" t="str">
        <f aca="false">IFERROR(L24/M24,"")</f>
        <v/>
      </c>
      <c r="O24" s="14" t="str">
        <f aca="false">IF(N24="","",IF(N24&gt;=200,"Yes","No"))</f>
        <v/>
      </c>
      <c r="P24" s="9"/>
      <c r="Q24" s="9"/>
      <c r="R24" s="9"/>
      <c r="S24" s="9"/>
      <c r="T24" s="9"/>
    </row>
    <row r="25" customFormat="false" ht="15" hidden="false" customHeight="false" outlineLevel="0" collapsed="false">
      <c r="A25" s="9"/>
      <c r="B25" s="9"/>
      <c r="C25" s="9"/>
      <c r="D25" s="9"/>
      <c r="E25" s="9"/>
      <c r="F25" s="9"/>
      <c r="G25" s="9"/>
      <c r="H25" s="9"/>
      <c r="I25" s="9"/>
      <c r="J25" s="9"/>
      <c r="K25" s="9"/>
      <c r="L25" s="9"/>
      <c r="M25" s="9"/>
      <c r="N25" s="14" t="str">
        <f aca="false">IFERROR(L25/M25,"")</f>
        <v/>
      </c>
      <c r="O25" s="14" t="str">
        <f aca="false">IF(N25="","",IF(N25&gt;=200,"Yes","No"))</f>
        <v/>
      </c>
      <c r="P25" s="9"/>
      <c r="Q25" s="9"/>
      <c r="R25" s="9"/>
      <c r="S25" s="9"/>
      <c r="T25" s="9"/>
    </row>
    <row r="26" customFormat="false" ht="15" hidden="false" customHeight="false" outlineLevel="0" collapsed="false">
      <c r="A26" s="9"/>
      <c r="B26" s="9"/>
      <c r="C26" s="9"/>
      <c r="D26" s="9"/>
      <c r="E26" s="9"/>
      <c r="F26" s="9"/>
      <c r="G26" s="9"/>
      <c r="H26" s="9"/>
      <c r="I26" s="9"/>
      <c r="J26" s="9"/>
      <c r="K26" s="9"/>
      <c r="L26" s="9"/>
      <c r="M26" s="9"/>
      <c r="N26" s="14" t="str">
        <f aca="false">IFERROR(L26/M26,"")</f>
        <v/>
      </c>
      <c r="O26" s="14" t="str">
        <f aca="false">IF(N26="","",IF(N26&gt;=200,"Yes","No"))</f>
        <v/>
      </c>
      <c r="P26" s="9"/>
      <c r="Q26" s="9"/>
      <c r="R26" s="9"/>
      <c r="S26" s="9"/>
      <c r="T26" s="9"/>
    </row>
    <row r="27" customFormat="false" ht="15" hidden="false" customHeight="false" outlineLevel="0" collapsed="false">
      <c r="A27" s="9"/>
      <c r="B27" s="9"/>
      <c r="C27" s="9"/>
      <c r="D27" s="9"/>
      <c r="E27" s="9"/>
      <c r="F27" s="9"/>
      <c r="G27" s="9"/>
      <c r="H27" s="9"/>
      <c r="I27" s="9"/>
      <c r="J27" s="9"/>
      <c r="K27" s="9"/>
      <c r="L27" s="9"/>
      <c r="M27" s="9"/>
      <c r="N27" s="14" t="str">
        <f aca="false">IFERROR(L27/M27,"")</f>
        <v/>
      </c>
      <c r="O27" s="14" t="str">
        <f aca="false">IF(N27="","",IF(N27&gt;=200,"Yes","No"))</f>
        <v/>
      </c>
      <c r="P27" s="9"/>
      <c r="Q27" s="9"/>
      <c r="R27" s="9"/>
      <c r="S27" s="9"/>
      <c r="T27" s="9"/>
    </row>
    <row r="28" customFormat="false" ht="15" hidden="false" customHeight="false" outlineLevel="0" collapsed="false">
      <c r="A28" s="9"/>
      <c r="B28" s="9"/>
      <c r="C28" s="9"/>
      <c r="D28" s="9"/>
      <c r="E28" s="9"/>
      <c r="F28" s="9"/>
      <c r="G28" s="9"/>
      <c r="H28" s="9"/>
      <c r="I28" s="9"/>
      <c r="J28" s="9"/>
      <c r="K28" s="9"/>
      <c r="L28" s="9"/>
      <c r="M28" s="9"/>
      <c r="N28" s="14" t="str">
        <f aca="false">IFERROR(L28/M28,"")</f>
        <v/>
      </c>
      <c r="O28" s="14" t="str">
        <f aca="false">IF(N28="","",IF(N28&gt;=200,"Yes","No"))</f>
        <v/>
      </c>
      <c r="P28" s="9"/>
      <c r="Q28" s="9"/>
      <c r="R28" s="9"/>
      <c r="S28" s="9"/>
      <c r="T28" s="9"/>
    </row>
    <row r="29" customFormat="false" ht="15" hidden="false" customHeight="false" outlineLevel="0" collapsed="false">
      <c r="A29" s="9"/>
      <c r="B29" s="9"/>
      <c r="C29" s="9"/>
      <c r="D29" s="9"/>
      <c r="E29" s="9"/>
      <c r="F29" s="9"/>
      <c r="G29" s="9"/>
      <c r="H29" s="9"/>
      <c r="I29" s="9"/>
      <c r="J29" s="9"/>
      <c r="K29" s="9"/>
      <c r="L29" s="9"/>
      <c r="M29" s="9"/>
      <c r="N29" s="14" t="str">
        <f aca="false">IFERROR(L29/M29,"")</f>
        <v/>
      </c>
      <c r="O29" s="14" t="str">
        <f aca="false">IF(N29="","",IF(N29&gt;=200,"Yes","No"))</f>
        <v/>
      </c>
      <c r="P29" s="9"/>
      <c r="Q29" s="9"/>
      <c r="R29" s="9"/>
      <c r="S29" s="9"/>
      <c r="T29" s="9"/>
    </row>
    <row r="30" customFormat="false" ht="15" hidden="false" customHeight="false" outlineLevel="0" collapsed="false">
      <c r="A30" s="9"/>
      <c r="B30" s="9"/>
      <c r="C30" s="9"/>
      <c r="D30" s="9"/>
      <c r="E30" s="9"/>
      <c r="F30" s="9"/>
      <c r="G30" s="9"/>
      <c r="H30" s="9"/>
      <c r="I30" s="9"/>
      <c r="J30" s="9"/>
      <c r="K30" s="9"/>
      <c r="L30" s="9"/>
      <c r="M30" s="9"/>
      <c r="N30" s="14" t="str">
        <f aca="false">IFERROR(L30/M30,"")</f>
        <v/>
      </c>
      <c r="O30" s="14" t="str">
        <f aca="false">IF(N30="","",IF(N30&gt;=200,"Yes","No"))</f>
        <v/>
      </c>
      <c r="P30" s="9"/>
      <c r="Q30" s="9"/>
      <c r="R30" s="9"/>
      <c r="S30" s="9"/>
      <c r="T30" s="9"/>
    </row>
    <row r="31" customFormat="false" ht="15" hidden="false" customHeight="false" outlineLevel="0" collapsed="false">
      <c r="A31" s="9"/>
      <c r="B31" s="9"/>
      <c r="C31" s="9"/>
      <c r="D31" s="9"/>
      <c r="E31" s="9"/>
      <c r="F31" s="9"/>
      <c r="G31" s="9"/>
      <c r="H31" s="9"/>
      <c r="I31" s="9"/>
      <c r="J31" s="9"/>
      <c r="K31" s="9"/>
      <c r="L31" s="9"/>
      <c r="M31" s="9"/>
      <c r="N31" s="14" t="str">
        <f aca="false">IFERROR(L31/M31,"")</f>
        <v/>
      </c>
      <c r="O31" s="14" t="str">
        <f aca="false">IF(N31="","",IF(N31&gt;=200,"Yes","No"))</f>
        <v/>
      </c>
      <c r="P31" s="9"/>
      <c r="Q31" s="9"/>
      <c r="R31" s="9"/>
      <c r="S31" s="9"/>
      <c r="T31" s="9"/>
    </row>
    <row r="32" customFormat="false" ht="15" hidden="false" customHeight="false" outlineLevel="0" collapsed="false">
      <c r="A32" s="9"/>
      <c r="B32" s="9"/>
      <c r="C32" s="9"/>
      <c r="D32" s="9"/>
      <c r="E32" s="9"/>
      <c r="F32" s="9"/>
      <c r="G32" s="9"/>
      <c r="H32" s="9"/>
      <c r="I32" s="9"/>
      <c r="J32" s="9"/>
      <c r="K32" s="9"/>
      <c r="L32" s="9"/>
      <c r="M32" s="9"/>
      <c r="N32" s="14" t="str">
        <f aca="false">IFERROR(L32/M32,"")</f>
        <v/>
      </c>
      <c r="O32" s="14" t="str">
        <f aca="false">IF(N32="","",IF(N32&gt;=200,"Yes","No"))</f>
        <v/>
      </c>
      <c r="P32" s="9"/>
      <c r="Q32" s="9"/>
      <c r="R32" s="9"/>
      <c r="S32" s="9"/>
      <c r="T32" s="9"/>
    </row>
    <row r="33" customFormat="false" ht="15" hidden="false" customHeight="false" outlineLevel="0" collapsed="false">
      <c r="A33" s="9"/>
      <c r="B33" s="9"/>
      <c r="C33" s="9"/>
      <c r="D33" s="9"/>
      <c r="E33" s="9"/>
      <c r="F33" s="9"/>
      <c r="G33" s="9"/>
      <c r="H33" s="9"/>
      <c r="I33" s="9"/>
      <c r="J33" s="9"/>
      <c r="K33" s="9"/>
      <c r="L33" s="9"/>
      <c r="M33" s="9"/>
      <c r="N33" s="14" t="str">
        <f aca="false">IFERROR(L33/M33,"")</f>
        <v/>
      </c>
      <c r="O33" s="14" t="str">
        <f aca="false">IF(N33="","",IF(N33&gt;=200,"Yes","No"))</f>
        <v/>
      </c>
      <c r="P33" s="9"/>
      <c r="Q33" s="9"/>
      <c r="R33" s="9"/>
      <c r="S33" s="9"/>
      <c r="T33" s="9"/>
    </row>
    <row r="34" customFormat="false" ht="15" hidden="false" customHeight="false" outlineLevel="0" collapsed="false">
      <c r="A34" s="9"/>
      <c r="B34" s="9"/>
      <c r="C34" s="9"/>
      <c r="D34" s="9"/>
      <c r="E34" s="9"/>
      <c r="F34" s="9"/>
      <c r="G34" s="9"/>
      <c r="H34" s="9"/>
      <c r="I34" s="9"/>
      <c r="J34" s="9"/>
      <c r="K34" s="9"/>
      <c r="L34" s="9"/>
      <c r="M34" s="9"/>
      <c r="N34" s="14" t="str">
        <f aca="false">IFERROR(L34/M34,"")</f>
        <v/>
      </c>
      <c r="O34" s="14" t="str">
        <f aca="false">IF(N34="","",IF(N34&gt;=200,"Yes","No"))</f>
        <v/>
      </c>
      <c r="P34" s="9"/>
      <c r="Q34" s="9"/>
      <c r="R34" s="9"/>
      <c r="S34" s="9"/>
      <c r="T34" s="9"/>
    </row>
    <row r="35" customFormat="false" ht="15" hidden="false" customHeight="false" outlineLevel="0" collapsed="false">
      <c r="A35" s="9"/>
      <c r="B35" s="9"/>
      <c r="C35" s="9"/>
      <c r="D35" s="9"/>
      <c r="E35" s="9"/>
      <c r="F35" s="9"/>
      <c r="G35" s="9"/>
      <c r="H35" s="9"/>
      <c r="I35" s="9"/>
      <c r="J35" s="9"/>
      <c r="K35" s="9"/>
      <c r="L35" s="9"/>
      <c r="M35" s="9"/>
      <c r="N35" s="14" t="str">
        <f aca="false">IFERROR(L35/M35,"")</f>
        <v/>
      </c>
      <c r="O35" s="14" t="str">
        <f aca="false">IF(N35="","",IF(N35&gt;=200,"Yes","No"))</f>
        <v/>
      </c>
      <c r="P35" s="9"/>
      <c r="Q35" s="9"/>
      <c r="R35" s="9"/>
      <c r="S35" s="9"/>
      <c r="T35" s="9"/>
    </row>
    <row r="36" customFormat="false" ht="15" hidden="false" customHeight="false" outlineLevel="0" collapsed="false">
      <c r="A36" s="9"/>
      <c r="B36" s="9"/>
      <c r="C36" s="9"/>
      <c r="D36" s="9"/>
      <c r="E36" s="9"/>
      <c r="F36" s="9"/>
      <c r="G36" s="9"/>
      <c r="H36" s="9"/>
      <c r="I36" s="9"/>
      <c r="J36" s="9"/>
      <c r="K36" s="9"/>
      <c r="L36" s="9"/>
      <c r="M36" s="9"/>
      <c r="N36" s="14" t="str">
        <f aca="false">IFERROR(L36/M36,"")</f>
        <v/>
      </c>
      <c r="O36" s="14" t="str">
        <f aca="false">IF(N36="","",IF(N36&gt;=200,"Yes","No"))</f>
        <v/>
      </c>
      <c r="P36" s="9"/>
      <c r="Q36" s="9"/>
      <c r="R36" s="9"/>
      <c r="S36" s="9"/>
      <c r="T36" s="9"/>
    </row>
    <row r="37" customFormat="false" ht="15" hidden="false" customHeight="false" outlineLevel="0" collapsed="false">
      <c r="A37" s="9"/>
      <c r="B37" s="9"/>
      <c r="C37" s="9"/>
      <c r="D37" s="9"/>
      <c r="E37" s="9"/>
      <c r="F37" s="9"/>
      <c r="G37" s="9"/>
      <c r="H37" s="9"/>
      <c r="I37" s="9"/>
      <c r="J37" s="9"/>
      <c r="K37" s="9"/>
      <c r="L37" s="9"/>
      <c r="M37" s="9"/>
      <c r="N37" s="14" t="str">
        <f aca="false">IFERROR(L37/M37,"")</f>
        <v/>
      </c>
      <c r="O37" s="14" t="str">
        <f aca="false">IF(N37="","",IF(N37&gt;=200,"Yes","No"))</f>
        <v/>
      </c>
      <c r="P37" s="9"/>
      <c r="Q37" s="9"/>
      <c r="R37" s="9"/>
      <c r="S37" s="9"/>
      <c r="T37" s="9"/>
    </row>
    <row r="38" customFormat="false" ht="15" hidden="false" customHeight="false" outlineLevel="0" collapsed="false">
      <c r="A38" s="9"/>
      <c r="B38" s="9"/>
      <c r="C38" s="9"/>
      <c r="D38" s="9"/>
      <c r="E38" s="9"/>
      <c r="F38" s="9"/>
      <c r="G38" s="9"/>
      <c r="H38" s="9"/>
      <c r="I38" s="9"/>
      <c r="J38" s="9"/>
      <c r="K38" s="9"/>
      <c r="L38" s="9"/>
      <c r="M38" s="9"/>
      <c r="N38" s="14" t="str">
        <f aca="false">IFERROR(L38/M38,"")</f>
        <v/>
      </c>
      <c r="O38" s="14" t="str">
        <f aca="false">IF(N38="","",IF(N38&gt;=200,"Yes","No"))</f>
        <v/>
      </c>
      <c r="P38" s="9"/>
      <c r="Q38" s="9"/>
      <c r="R38" s="9"/>
      <c r="S38" s="9"/>
      <c r="T38" s="9"/>
    </row>
    <row r="39" customFormat="false" ht="15" hidden="false" customHeight="false" outlineLevel="0" collapsed="false">
      <c r="A39" s="9"/>
      <c r="B39" s="9"/>
      <c r="C39" s="9"/>
      <c r="D39" s="9"/>
      <c r="E39" s="9"/>
      <c r="F39" s="9"/>
      <c r="G39" s="9"/>
      <c r="H39" s="9"/>
      <c r="I39" s="9"/>
      <c r="J39" s="9"/>
      <c r="K39" s="9"/>
      <c r="L39" s="9"/>
      <c r="M39" s="9"/>
      <c r="N39" s="14" t="str">
        <f aca="false">IFERROR(L39/M39,"")</f>
        <v/>
      </c>
      <c r="O39" s="14" t="str">
        <f aca="false">IF(N39="","",IF(N39&gt;=200,"Yes","No"))</f>
        <v/>
      </c>
      <c r="P39" s="9"/>
      <c r="Q39" s="9"/>
      <c r="R39" s="9"/>
      <c r="S39" s="9"/>
      <c r="T39" s="9"/>
    </row>
    <row r="40" customFormat="false" ht="15" hidden="false" customHeight="false" outlineLevel="0" collapsed="false">
      <c r="A40" s="9"/>
      <c r="B40" s="9"/>
      <c r="C40" s="9"/>
      <c r="D40" s="9"/>
      <c r="E40" s="9"/>
      <c r="F40" s="9"/>
      <c r="G40" s="9"/>
      <c r="H40" s="9"/>
      <c r="I40" s="9"/>
      <c r="J40" s="9"/>
      <c r="K40" s="9"/>
      <c r="L40" s="9"/>
      <c r="M40" s="9"/>
      <c r="N40" s="14" t="str">
        <f aca="false">IFERROR(L40/M40,"")</f>
        <v/>
      </c>
      <c r="O40" s="14" t="str">
        <f aca="false">IF(N40="","",IF(N40&gt;=200,"Yes","No"))</f>
        <v/>
      </c>
      <c r="P40" s="9"/>
      <c r="Q40" s="9"/>
      <c r="R40" s="9"/>
      <c r="S40" s="9"/>
      <c r="T40" s="9"/>
    </row>
    <row r="41" customFormat="false" ht="15" hidden="false" customHeight="false" outlineLevel="0" collapsed="false">
      <c r="A41" s="9"/>
      <c r="B41" s="9"/>
      <c r="C41" s="9"/>
      <c r="D41" s="9"/>
      <c r="E41" s="9"/>
      <c r="F41" s="9"/>
      <c r="G41" s="9"/>
      <c r="H41" s="9"/>
      <c r="I41" s="9"/>
      <c r="J41" s="9"/>
      <c r="K41" s="9"/>
      <c r="L41" s="9"/>
      <c r="M41" s="9"/>
      <c r="N41" s="14" t="str">
        <f aca="false">IFERROR(L41/M41,"")</f>
        <v/>
      </c>
      <c r="O41" s="14" t="str">
        <f aca="false">IF(N41="","",IF(N41&gt;=200,"Yes","No"))</f>
        <v/>
      </c>
      <c r="P41" s="9"/>
      <c r="Q41" s="9"/>
      <c r="R41" s="9"/>
      <c r="S41" s="9"/>
      <c r="T41" s="9"/>
    </row>
    <row r="42" customFormat="false" ht="15" hidden="false" customHeight="false" outlineLevel="0" collapsed="false">
      <c r="A42" s="9"/>
      <c r="B42" s="9"/>
      <c r="C42" s="9"/>
      <c r="D42" s="9"/>
      <c r="E42" s="9"/>
      <c r="F42" s="9"/>
      <c r="G42" s="9"/>
      <c r="H42" s="9"/>
      <c r="I42" s="9"/>
      <c r="J42" s="9"/>
      <c r="K42" s="9"/>
      <c r="L42" s="9"/>
      <c r="M42" s="9"/>
      <c r="N42" s="14" t="str">
        <f aca="false">IFERROR(L42/M42,"")</f>
        <v/>
      </c>
      <c r="O42" s="14" t="str">
        <f aca="false">IF(N42="","",IF(N42&gt;=200,"Yes","No"))</f>
        <v/>
      </c>
      <c r="P42" s="9"/>
      <c r="Q42" s="9"/>
      <c r="R42" s="9"/>
      <c r="S42" s="9"/>
      <c r="T42" s="9"/>
    </row>
    <row r="43" customFormat="false" ht="15" hidden="false" customHeight="false" outlineLevel="0" collapsed="false">
      <c r="A43" s="9"/>
      <c r="B43" s="9"/>
      <c r="C43" s="9"/>
      <c r="D43" s="9"/>
      <c r="E43" s="9"/>
      <c r="F43" s="9"/>
      <c r="G43" s="9"/>
      <c r="H43" s="9"/>
      <c r="I43" s="9"/>
      <c r="J43" s="9"/>
      <c r="K43" s="9"/>
      <c r="L43" s="9"/>
      <c r="M43" s="9"/>
      <c r="N43" s="14" t="str">
        <f aca="false">IFERROR(L43/M43,"")</f>
        <v/>
      </c>
      <c r="O43" s="14" t="str">
        <f aca="false">IF(N43="","",IF(N43&gt;=200,"Yes","No"))</f>
        <v/>
      </c>
      <c r="P43" s="9"/>
      <c r="Q43" s="9"/>
      <c r="R43" s="9"/>
      <c r="S43" s="9"/>
      <c r="T43" s="9"/>
    </row>
    <row r="44" customFormat="false" ht="15" hidden="false" customHeight="false" outlineLevel="0" collapsed="false">
      <c r="A44" s="9"/>
      <c r="B44" s="9"/>
      <c r="C44" s="9"/>
      <c r="D44" s="9"/>
      <c r="E44" s="9"/>
      <c r="F44" s="9"/>
      <c r="G44" s="9"/>
      <c r="H44" s="9"/>
      <c r="I44" s="9"/>
      <c r="J44" s="9"/>
      <c r="K44" s="9"/>
      <c r="L44" s="9"/>
      <c r="M44" s="9"/>
      <c r="N44" s="14" t="str">
        <f aca="false">IFERROR(L44/M44,"")</f>
        <v/>
      </c>
      <c r="O44" s="14" t="str">
        <f aca="false">IF(N44="","",IF(N44&gt;=200,"Yes","No"))</f>
        <v/>
      </c>
      <c r="P44" s="9"/>
      <c r="Q44" s="9"/>
      <c r="R44" s="9"/>
      <c r="S44" s="9"/>
      <c r="T44" s="9"/>
    </row>
    <row r="45" customFormat="false" ht="15" hidden="false" customHeight="false" outlineLevel="0" collapsed="false">
      <c r="A45" s="9"/>
      <c r="B45" s="9"/>
      <c r="C45" s="9"/>
      <c r="D45" s="9"/>
      <c r="E45" s="9"/>
      <c r="F45" s="9"/>
      <c r="G45" s="9"/>
      <c r="H45" s="9"/>
      <c r="I45" s="9"/>
      <c r="J45" s="9"/>
      <c r="K45" s="9"/>
      <c r="L45" s="9"/>
      <c r="M45" s="9"/>
      <c r="N45" s="14" t="str">
        <f aca="false">IFERROR(L45/M45,"")</f>
        <v/>
      </c>
      <c r="O45" s="14" t="str">
        <f aca="false">IF(N45="","",IF(N45&gt;=200,"Yes","No"))</f>
        <v/>
      </c>
      <c r="P45" s="9"/>
      <c r="Q45" s="9"/>
      <c r="R45" s="9"/>
      <c r="S45" s="9"/>
      <c r="T45" s="9"/>
    </row>
    <row r="46" customFormat="false" ht="15" hidden="false" customHeight="false" outlineLevel="0" collapsed="false">
      <c r="A46" s="9"/>
      <c r="B46" s="9"/>
      <c r="C46" s="9"/>
      <c r="D46" s="9"/>
      <c r="E46" s="9"/>
      <c r="F46" s="9"/>
      <c r="G46" s="9"/>
      <c r="H46" s="9"/>
      <c r="I46" s="9"/>
      <c r="J46" s="9"/>
      <c r="K46" s="9"/>
      <c r="L46" s="9"/>
      <c r="M46" s="9"/>
      <c r="N46" s="14" t="str">
        <f aca="false">IFERROR(L46/M46,"")</f>
        <v/>
      </c>
      <c r="O46" s="14" t="str">
        <f aca="false">IF(N46="","",IF(N46&gt;=200,"Yes","No"))</f>
        <v/>
      </c>
      <c r="P46" s="9"/>
      <c r="Q46" s="9"/>
      <c r="R46" s="9"/>
      <c r="S46" s="9"/>
      <c r="T46" s="9"/>
    </row>
    <row r="47" customFormat="false" ht="15" hidden="false" customHeight="false" outlineLevel="0" collapsed="false">
      <c r="A47" s="9"/>
      <c r="B47" s="9"/>
      <c r="C47" s="9"/>
      <c r="D47" s="9"/>
      <c r="E47" s="9"/>
      <c r="F47" s="9"/>
      <c r="G47" s="9"/>
      <c r="H47" s="9"/>
      <c r="I47" s="9"/>
      <c r="J47" s="9"/>
      <c r="K47" s="9"/>
      <c r="L47" s="9"/>
      <c r="M47" s="9"/>
      <c r="N47" s="14" t="str">
        <f aca="false">IFERROR(L47/M47,"")</f>
        <v/>
      </c>
      <c r="O47" s="14" t="str">
        <f aca="false">IF(N47="","",IF(N47&gt;=200,"Yes","No"))</f>
        <v/>
      </c>
      <c r="P47" s="9"/>
      <c r="Q47" s="9"/>
      <c r="R47" s="9"/>
      <c r="S47" s="9"/>
      <c r="T47" s="9"/>
    </row>
    <row r="48" customFormat="false" ht="15" hidden="false" customHeight="false" outlineLevel="0" collapsed="false">
      <c r="A48" s="9"/>
      <c r="B48" s="9"/>
      <c r="C48" s="9"/>
      <c r="D48" s="9"/>
      <c r="E48" s="9"/>
      <c r="F48" s="9"/>
      <c r="G48" s="9"/>
      <c r="H48" s="9"/>
      <c r="I48" s="9"/>
      <c r="J48" s="9"/>
      <c r="K48" s="9"/>
      <c r="L48" s="9"/>
      <c r="M48" s="9"/>
      <c r="N48" s="14" t="str">
        <f aca="false">IFERROR(L48/M48,"")</f>
        <v/>
      </c>
      <c r="O48" s="14" t="str">
        <f aca="false">IF(N48="","",IF(N48&gt;=200,"Yes","No"))</f>
        <v/>
      </c>
      <c r="P48" s="9"/>
      <c r="Q48" s="9"/>
      <c r="R48" s="9"/>
      <c r="S48" s="9"/>
      <c r="T48" s="9"/>
    </row>
    <row r="49" customFormat="false" ht="15" hidden="false" customHeight="false" outlineLevel="0" collapsed="false">
      <c r="A49" s="9"/>
      <c r="B49" s="9"/>
      <c r="C49" s="9"/>
      <c r="D49" s="9"/>
      <c r="E49" s="9"/>
      <c r="F49" s="9"/>
      <c r="G49" s="9"/>
      <c r="H49" s="9"/>
      <c r="I49" s="9"/>
      <c r="J49" s="9"/>
      <c r="K49" s="9"/>
      <c r="L49" s="9"/>
      <c r="M49" s="9"/>
      <c r="N49" s="14" t="str">
        <f aca="false">IFERROR(L49/M49,"")</f>
        <v/>
      </c>
      <c r="O49" s="14" t="str">
        <f aca="false">IF(N49="","",IF(N49&gt;=200,"Yes","No"))</f>
        <v/>
      </c>
      <c r="P49" s="9"/>
      <c r="Q49" s="9"/>
      <c r="R49" s="9"/>
      <c r="S49" s="9"/>
      <c r="T49" s="9"/>
    </row>
    <row r="50" customFormat="false" ht="15" hidden="false" customHeight="false" outlineLevel="0" collapsed="false">
      <c r="A50" s="9"/>
      <c r="B50" s="9"/>
      <c r="C50" s="9"/>
      <c r="D50" s="9"/>
      <c r="E50" s="9"/>
      <c r="F50" s="9"/>
      <c r="G50" s="9"/>
      <c r="H50" s="9"/>
      <c r="I50" s="9"/>
      <c r="J50" s="9"/>
      <c r="K50" s="9"/>
      <c r="L50" s="9"/>
      <c r="M50" s="9"/>
      <c r="N50" s="14" t="str">
        <f aca="false">IFERROR(L50/M50,"")</f>
        <v/>
      </c>
      <c r="O50" s="14" t="str">
        <f aca="false">IF(N50="","",IF(N50&gt;=200,"Yes","No"))</f>
        <v/>
      </c>
      <c r="P50" s="9"/>
      <c r="Q50" s="9"/>
      <c r="R50" s="9"/>
      <c r="S50" s="9"/>
      <c r="T50" s="9"/>
    </row>
    <row r="51" customFormat="false" ht="15" hidden="false" customHeight="false" outlineLevel="0" collapsed="false">
      <c r="A51" s="9"/>
      <c r="B51" s="9"/>
      <c r="C51" s="9"/>
      <c r="D51" s="9"/>
      <c r="E51" s="9"/>
      <c r="F51" s="9"/>
      <c r="G51" s="9"/>
      <c r="H51" s="9"/>
      <c r="I51" s="9"/>
      <c r="J51" s="9"/>
      <c r="K51" s="9"/>
      <c r="L51" s="9"/>
      <c r="M51" s="9"/>
      <c r="N51" s="14" t="str">
        <f aca="false">IFERROR(L51/M51,"")</f>
        <v/>
      </c>
      <c r="O51" s="14" t="str">
        <f aca="false">IF(N51="","",IF(N51&gt;=200,"Yes","No"))</f>
        <v/>
      </c>
      <c r="P51" s="9"/>
      <c r="Q51" s="9"/>
      <c r="R51" s="9"/>
      <c r="S51" s="9"/>
      <c r="T51" s="9"/>
    </row>
    <row r="52" customFormat="false" ht="15" hidden="false" customHeight="false" outlineLevel="0" collapsed="false">
      <c r="A52" s="9"/>
      <c r="B52" s="9"/>
      <c r="C52" s="9"/>
      <c r="D52" s="9"/>
      <c r="E52" s="9"/>
      <c r="F52" s="9"/>
      <c r="G52" s="9"/>
      <c r="H52" s="9"/>
      <c r="I52" s="9"/>
      <c r="J52" s="9"/>
      <c r="K52" s="9"/>
      <c r="L52" s="9"/>
      <c r="M52" s="9"/>
      <c r="N52" s="14" t="str">
        <f aca="false">IFERROR(L52/M52,"")</f>
        <v/>
      </c>
      <c r="O52" s="14" t="str">
        <f aca="false">IF(N52="","",IF(N52&gt;=200,"Yes","No"))</f>
        <v/>
      </c>
      <c r="P52" s="9"/>
      <c r="Q52" s="9"/>
      <c r="R52" s="9"/>
      <c r="S52" s="9"/>
      <c r="T52" s="9"/>
    </row>
    <row r="53" customFormat="false" ht="15" hidden="false" customHeight="false" outlineLevel="0" collapsed="false">
      <c r="A53" s="9"/>
      <c r="B53" s="9"/>
      <c r="C53" s="9"/>
      <c r="D53" s="9"/>
      <c r="E53" s="9"/>
      <c r="F53" s="9"/>
      <c r="G53" s="9"/>
      <c r="H53" s="9"/>
      <c r="I53" s="9"/>
      <c r="J53" s="9"/>
      <c r="K53" s="9"/>
      <c r="L53" s="9"/>
      <c r="M53" s="9"/>
      <c r="N53" s="14" t="str">
        <f aca="false">IFERROR(L53/M53,"")</f>
        <v/>
      </c>
      <c r="O53" s="14" t="str">
        <f aca="false">IF(N53="","",IF(N53&gt;=200,"Yes","No"))</f>
        <v/>
      </c>
      <c r="P53" s="9"/>
      <c r="Q53" s="9"/>
      <c r="R53" s="9"/>
      <c r="S53" s="9"/>
      <c r="T53" s="9"/>
    </row>
    <row r="54" customFormat="false" ht="15" hidden="false" customHeight="false" outlineLevel="0" collapsed="false">
      <c r="A54" s="9"/>
      <c r="B54" s="9"/>
      <c r="C54" s="9"/>
      <c r="D54" s="9"/>
      <c r="E54" s="9"/>
      <c r="F54" s="9"/>
      <c r="G54" s="9"/>
      <c r="H54" s="9"/>
      <c r="I54" s="9"/>
      <c r="J54" s="9"/>
      <c r="K54" s="9"/>
      <c r="L54" s="9"/>
      <c r="M54" s="9"/>
      <c r="N54" s="14" t="str">
        <f aca="false">IFERROR(L54/M54,"")</f>
        <v/>
      </c>
      <c r="O54" s="14" t="str">
        <f aca="false">IF(N54="","",IF(N54&gt;=200,"Yes","No"))</f>
        <v/>
      </c>
      <c r="P54" s="9"/>
      <c r="Q54" s="9"/>
      <c r="R54" s="9"/>
      <c r="S54" s="9"/>
      <c r="T54" s="9"/>
    </row>
    <row r="55" customFormat="false" ht="15" hidden="false" customHeight="false" outlineLevel="0" collapsed="false">
      <c r="A55" s="9"/>
      <c r="B55" s="9"/>
      <c r="C55" s="9"/>
      <c r="D55" s="9"/>
      <c r="E55" s="9"/>
      <c r="F55" s="9"/>
      <c r="G55" s="9"/>
      <c r="H55" s="9"/>
      <c r="I55" s="9"/>
      <c r="J55" s="9"/>
      <c r="K55" s="9"/>
      <c r="L55" s="9"/>
      <c r="M55" s="9"/>
      <c r="N55" s="14" t="str">
        <f aca="false">IFERROR(L55/M55,"")</f>
        <v/>
      </c>
      <c r="O55" s="14" t="str">
        <f aca="false">IF(N55="","",IF(N55&gt;=200,"Yes","No"))</f>
        <v/>
      </c>
      <c r="P55" s="9"/>
      <c r="Q55" s="9"/>
      <c r="R55" s="9"/>
      <c r="S55" s="9"/>
      <c r="T55" s="9"/>
    </row>
    <row r="56" customFormat="false" ht="15" hidden="false" customHeight="false" outlineLevel="0" collapsed="false">
      <c r="A56" s="9"/>
      <c r="B56" s="9"/>
      <c r="C56" s="9"/>
      <c r="D56" s="9"/>
      <c r="E56" s="9"/>
      <c r="F56" s="9"/>
      <c r="G56" s="9"/>
      <c r="H56" s="9"/>
      <c r="I56" s="9"/>
      <c r="J56" s="9"/>
      <c r="K56" s="9"/>
      <c r="L56" s="9"/>
      <c r="M56" s="9"/>
      <c r="N56" s="14" t="str">
        <f aca="false">IFERROR(L56/M56,"")</f>
        <v/>
      </c>
      <c r="O56" s="14" t="str">
        <f aca="false">IF(N56="","",IF(N56&gt;=200,"Yes","No"))</f>
        <v/>
      </c>
      <c r="P56" s="9"/>
      <c r="Q56" s="9"/>
      <c r="R56" s="9"/>
      <c r="S56" s="9"/>
      <c r="T56" s="9"/>
    </row>
    <row r="57" customFormat="false" ht="15" hidden="false" customHeight="false" outlineLevel="0" collapsed="false">
      <c r="A57" s="9"/>
      <c r="B57" s="9"/>
      <c r="C57" s="9"/>
      <c r="D57" s="9"/>
      <c r="E57" s="9"/>
      <c r="F57" s="9"/>
      <c r="G57" s="9"/>
      <c r="H57" s="9"/>
      <c r="I57" s="9"/>
      <c r="J57" s="9"/>
      <c r="K57" s="9"/>
      <c r="L57" s="9"/>
      <c r="M57" s="9"/>
      <c r="N57" s="14" t="str">
        <f aca="false">IFERROR(L57/M57,"")</f>
        <v/>
      </c>
      <c r="O57" s="14" t="str">
        <f aca="false">IF(N57="","",IF(N57&gt;=200,"Yes","No"))</f>
        <v/>
      </c>
      <c r="P57" s="9"/>
      <c r="Q57" s="9"/>
      <c r="R57" s="9"/>
      <c r="S57" s="9"/>
      <c r="T57" s="9"/>
    </row>
    <row r="58" customFormat="false" ht="15" hidden="false" customHeight="false" outlineLevel="0" collapsed="false">
      <c r="A58" s="9"/>
      <c r="B58" s="9"/>
      <c r="C58" s="9"/>
      <c r="D58" s="9"/>
      <c r="E58" s="9"/>
      <c r="F58" s="9"/>
      <c r="G58" s="9"/>
      <c r="H58" s="9"/>
      <c r="I58" s="9"/>
      <c r="J58" s="9"/>
      <c r="K58" s="9"/>
      <c r="L58" s="9"/>
      <c r="M58" s="9"/>
      <c r="N58" s="14" t="str">
        <f aca="false">IFERROR(L58/M58,"")</f>
        <v/>
      </c>
      <c r="O58" s="14" t="str">
        <f aca="false">IF(N58="","",IF(N58&gt;=200,"Yes","No"))</f>
        <v/>
      </c>
      <c r="P58" s="9"/>
      <c r="Q58" s="9"/>
      <c r="R58" s="9"/>
      <c r="S58" s="9"/>
      <c r="T58" s="9"/>
    </row>
    <row r="59" customFormat="false" ht="15" hidden="false" customHeight="false" outlineLevel="0" collapsed="false">
      <c r="A59" s="9"/>
      <c r="B59" s="9"/>
      <c r="C59" s="9"/>
      <c r="D59" s="9"/>
      <c r="E59" s="9"/>
      <c r="F59" s="9"/>
      <c r="G59" s="9"/>
      <c r="H59" s="9"/>
      <c r="I59" s="9"/>
      <c r="J59" s="9"/>
      <c r="K59" s="9"/>
      <c r="L59" s="9"/>
      <c r="M59" s="9"/>
      <c r="N59" s="14" t="str">
        <f aca="false">IFERROR(L59/M59,"")</f>
        <v/>
      </c>
      <c r="O59" s="14" t="str">
        <f aca="false">IF(N59="","",IF(N59&gt;=200,"Yes","No"))</f>
        <v/>
      </c>
      <c r="P59" s="9"/>
      <c r="Q59" s="9"/>
      <c r="R59" s="9"/>
      <c r="S59" s="9"/>
      <c r="T59" s="9"/>
    </row>
    <row r="60" customFormat="false" ht="15" hidden="false" customHeight="false" outlineLevel="0" collapsed="false">
      <c r="A60" s="9"/>
      <c r="B60" s="9"/>
      <c r="C60" s="9"/>
      <c r="D60" s="9"/>
      <c r="E60" s="9"/>
      <c r="F60" s="9"/>
      <c r="G60" s="9"/>
      <c r="H60" s="9"/>
      <c r="I60" s="9"/>
      <c r="J60" s="9"/>
      <c r="K60" s="9"/>
      <c r="L60" s="9"/>
      <c r="M60" s="9"/>
      <c r="N60" s="14" t="str">
        <f aca="false">IFERROR(L60/M60,"")</f>
        <v/>
      </c>
      <c r="O60" s="14" t="str">
        <f aca="false">IF(N60="","",IF(N60&gt;=200,"Yes","No"))</f>
        <v/>
      </c>
      <c r="P60" s="9"/>
      <c r="Q60" s="9"/>
      <c r="R60" s="9"/>
      <c r="S60" s="9"/>
      <c r="T60" s="9"/>
    </row>
    <row r="61" customFormat="false" ht="15" hidden="false" customHeight="false" outlineLevel="0" collapsed="false">
      <c r="A61" s="9"/>
      <c r="B61" s="9"/>
      <c r="C61" s="9"/>
      <c r="D61" s="9"/>
      <c r="E61" s="9"/>
      <c r="F61" s="9"/>
      <c r="G61" s="9"/>
      <c r="H61" s="9"/>
      <c r="I61" s="9"/>
      <c r="J61" s="9"/>
      <c r="K61" s="9"/>
      <c r="L61" s="9"/>
      <c r="M61" s="9"/>
      <c r="N61" s="14" t="str">
        <f aca="false">IFERROR(L61/M61,"")</f>
        <v/>
      </c>
      <c r="O61" s="14" t="str">
        <f aca="false">IF(N61="","",IF(N61&gt;=200,"Yes","No"))</f>
        <v/>
      </c>
      <c r="P61" s="9"/>
      <c r="Q61" s="9"/>
      <c r="R61" s="9"/>
      <c r="S61" s="9"/>
      <c r="T61" s="9"/>
    </row>
    <row r="62" customFormat="false" ht="15" hidden="false" customHeight="false" outlineLevel="0" collapsed="false">
      <c r="A62" s="9"/>
      <c r="B62" s="9"/>
      <c r="C62" s="9"/>
      <c r="D62" s="9"/>
      <c r="E62" s="9"/>
      <c r="F62" s="9"/>
      <c r="G62" s="9"/>
      <c r="H62" s="9"/>
      <c r="I62" s="9"/>
      <c r="J62" s="9"/>
      <c r="K62" s="9"/>
      <c r="L62" s="9"/>
      <c r="M62" s="9"/>
      <c r="N62" s="14" t="str">
        <f aca="false">IFERROR(L62/M62,"")</f>
        <v/>
      </c>
      <c r="O62" s="14" t="str">
        <f aca="false">IF(N62="","",IF(N62&gt;=200,"Yes","No"))</f>
        <v/>
      </c>
      <c r="P62" s="9"/>
      <c r="Q62" s="9"/>
      <c r="R62" s="9"/>
      <c r="S62" s="9"/>
      <c r="T62" s="9"/>
    </row>
    <row r="63" customFormat="false" ht="15" hidden="false" customHeight="false" outlineLevel="0" collapsed="false">
      <c r="A63" s="9"/>
      <c r="B63" s="9"/>
      <c r="C63" s="9"/>
      <c r="D63" s="9"/>
      <c r="E63" s="9"/>
      <c r="F63" s="9"/>
      <c r="G63" s="9"/>
      <c r="H63" s="9"/>
      <c r="I63" s="9"/>
      <c r="J63" s="9"/>
      <c r="K63" s="9"/>
      <c r="L63" s="9"/>
      <c r="M63" s="9"/>
      <c r="N63" s="14" t="str">
        <f aca="false">IFERROR(L63/M63,"")</f>
        <v/>
      </c>
      <c r="O63" s="14" t="str">
        <f aca="false">IF(N63="","",IF(N63&gt;=200,"Yes","No"))</f>
        <v/>
      </c>
      <c r="P63" s="9"/>
      <c r="Q63" s="9"/>
      <c r="R63" s="9"/>
      <c r="S63" s="9"/>
      <c r="T63" s="9"/>
    </row>
    <row r="64" customFormat="false" ht="15" hidden="false" customHeight="false" outlineLevel="0" collapsed="false">
      <c r="A64" s="9"/>
      <c r="B64" s="9"/>
      <c r="C64" s="9"/>
      <c r="D64" s="9"/>
      <c r="E64" s="9"/>
      <c r="F64" s="9"/>
      <c r="G64" s="9"/>
      <c r="H64" s="9"/>
      <c r="I64" s="9"/>
      <c r="J64" s="9"/>
      <c r="K64" s="9"/>
      <c r="L64" s="9"/>
      <c r="M64" s="9"/>
      <c r="N64" s="14" t="str">
        <f aca="false">IFERROR(L64/M64,"")</f>
        <v/>
      </c>
      <c r="O64" s="14" t="str">
        <f aca="false">IF(N64="","",IF(N64&gt;=200,"Yes","No"))</f>
        <v/>
      </c>
      <c r="P64" s="9"/>
      <c r="Q64" s="9"/>
      <c r="R64" s="9"/>
      <c r="S64" s="9"/>
      <c r="T64" s="9"/>
    </row>
    <row r="65" customFormat="false" ht="15" hidden="false" customHeight="false" outlineLevel="0" collapsed="false">
      <c r="A65" s="9"/>
      <c r="B65" s="9"/>
      <c r="C65" s="9"/>
      <c r="D65" s="9"/>
      <c r="E65" s="9"/>
      <c r="F65" s="9"/>
      <c r="G65" s="9"/>
      <c r="H65" s="9"/>
      <c r="I65" s="9"/>
      <c r="J65" s="9"/>
      <c r="K65" s="9"/>
      <c r="L65" s="9"/>
      <c r="M65" s="9"/>
      <c r="N65" s="14" t="str">
        <f aca="false">IFERROR(L65/M65,"")</f>
        <v/>
      </c>
      <c r="O65" s="14" t="str">
        <f aca="false">IF(N65="","",IF(N65&gt;=200,"Yes","No"))</f>
        <v/>
      </c>
      <c r="P65" s="9"/>
      <c r="Q65" s="9"/>
      <c r="R65" s="9"/>
      <c r="S65" s="9"/>
      <c r="T65" s="9"/>
    </row>
    <row r="66" customFormat="false" ht="15" hidden="false" customHeight="false" outlineLevel="0" collapsed="false">
      <c r="A66" s="9"/>
      <c r="B66" s="9"/>
      <c r="C66" s="9"/>
      <c r="D66" s="9"/>
      <c r="E66" s="9"/>
      <c r="F66" s="9"/>
      <c r="G66" s="9"/>
      <c r="H66" s="9"/>
      <c r="I66" s="9"/>
      <c r="J66" s="9"/>
      <c r="K66" s="9"/>
      <c r="L66" s="9"/>
      <c r="M66" s="9"/>
      <c r="N66" s="14" t="str">
        <f aca="false">IFERROR(L66/M66,"")</f>
        <v/>
      </c>
      <c r="O66" s="14" t="str">
        <f aca="false">IF(N66="","",IF(N66&gt;=200,"Yes","No"))</f>
        <v/>
      </c>
      <c r="P66" s="9"/>
      <c r="Q66" s="9"/>
      <c r="R66" s="9"/>
      <c r="S66" s="9"/>
      <c r="T66" s="9"/>
    </row>
    <row r="67" customFormat="false" ht="15" hidden="false" customHeight="false" outlineLevel="0" collapsed="false">
      <c r="A67" s="9"/>
      <c r="B67" s="9"/>
      <c r="C67" s="9"/>
      <c r="D67" s="9"/>
      <c r="E67" s="9"/>
      <c r="F67" s="9"/>
      <c r="G67" s="9"/>
      <c r="H67" s="9"/>
      <c r="I67" s="9"/>
      <c r="J67" s="9"/>
      <c r="K67" s="9"/>
      <c r="L67" s="9"/>
      <c r="M67" s="9"/>
      <c r="N67" s="14" t="str">
        <f aca="false">IFERROR(L67/M67,"")</f>
        <v/>
      </c>
      <c r="O67" s="14" t="str">
        <f aca="false">IF(N67="","",IF(N67&gt;=200,"Yes","No"))</f>
        <v/>
      </c>
      <c r="P67" s="9"/>
      <c r="Q67" s="9"/>
      <c r="R67" s="9"/>
      <c r="S67" s="9"/>
      <c r="T67" s="9"/>
    </row>
    <row r="68" customFormat="false" ht="15" hidden="false" customHeight="false" outlineLevel="0" collapsed="false">
      <c r="A68" s="9"/>
      <c r="B68" s="9"/>
      <c r="C68" s="9"/>
      <c r="D68" s="9"/>
      <c r="E68" s="9"/>
      <c r="F68" s="9"/>
      <c r="G68" s="9"/>
      <c r="H68" s="9"/>
      <c r="I68" s="9"/>
      <c r="J68" s="9"/>
      <c r="K68" s="9"/>
      <c r="L68" s="9"/>
      <c r="M68" s="9"/>
      <c r="N68" s="14" t="str">
        <f aca="false">IFERROR(L68/M68,"")</f>
        <v/>
      </c>
      <c r="O68" s="14" t="str">
        <f aca="false">IF(N68="","",IF(N68&gt;=200,"Yes","No"))</f>
        <v/>
      </c>
      <c r="P68" s="9"/>
      <c r="Q68" s="9"/>
      <c r="R68" s="9"/>
      <c r="S68" s="9"/>
      <c r="T68" s="9"/>
    </row>
    <row r="69" customFormat="false" ht="15" hidden="false" customHeight="false" outlineLevel="0" collapsed="false">
      <c r="A69" s="9"/>
      <c r="B69" s="9"/>
      <c r="C69" s="9"/>
      <c r="D69" s="9"/>
      <c r="E69" s="9"/>
      <c r="F69" s="9"/>
      <c r="G69" s="9"/>
      <c r="H69" s="9"/>
      <c r="I69" s="9"/>
      <c r="J69" s="9"/>
      <c r="K69" s="9"/>
      <c r="L69" s="9"/>
      <c r="M69" s="9"/>
      <c r="N69" s="14" t="str">
        <f aca="false">IFERROR(L69/M69,"")</f>
        <v/>
      </c>
      <c r="O69" s="14" t="str">
        <f aca="false">IF(N69="","",IF(N69&gt;=200,"Yes","No"))</f>
        <v/>
      </c>
      <c r="P69" s="9"/>
      <c r="Q69" s="9"/>
      <c r="R69" s="9"/>
      <c r="S69" s="9"/>
      <c r="T69" s="9"/>
    </row>
    <row r="70" customFormat="false" ht="15" hidden="false" customHeight="false" outlineLevel="0" collapsed="false">
      <c r="A70" s="9"/>
      <c r="B70" s="9"/>
      <c r="C70" s="9"/>
      <c r="D70" s="9"/>
      <c r="E70" s="9"/>
      <c r="F70" s="9"/>
      <c r="G70" s="9"/>
      <c r="H70" s="9"/>
      <c r="I70" s="9"/>
      <c r="J70" s="9"/>
      <c r="K70" s="9"/>
      <c r="L70" s="9"/>
      <c r="M70" s="9"/>
      <c r="N70" s="14" t="str">
        <f aca="false">IFERROR(L70/M70,"")</f>
        <v/>
      </c>
      <c r="O70" s="14" t="str">
        <f aca="false">IF(N70="","",IF(N70&gt;=200,"Yes","No"))</f>
        <v/>
      </c>
      <c r="P70" s="9"/>
      <c r="Q70" s="9"/>
      <c r="R70" s="9"/>
      <c r="S70" s="9"/>
      <c r="T70" s="9"/>
    </row>
    <row r="71" customFormat="false" ht="15" hidden="false" customHeight="false" outlineLevel="0" collapsed="false">
      <c r="A71" s="9"/>
      <c r="B71" s="9"/>
      <c r="C71" s="9"/>
      <c r="D71" s="9"/>
      <c r="E71" s="9"/>
      <c r="F71" s="9"/>
      <c r="G71" s="9"/>
      <c r="H71" s="9"/>
      <c r="I71" s="9"/>
      <c r="J71" s="9"/>
      <c r="K71" s="9"/>
      <c r="L71" s="9"/>
      <c r="M71" s="9"/>
      <c r="N71" s="14" t="str">
        <f aca="false">IFERROR(L71/M71,"")</f>
        <v/>
      </c>
      <c r="O71" s="14" t="str">
        <f aca="false">IF(N71="","",IF(N71&gt;=200,"Yes","No"))</f>
        <v/>
      </c>
      <c r="P71" s="9"/>
      <c r="Q71" s="9"/>
      <c r="R71" s="9"/>
      <c r="S71" s="9"/>
      <c r="T71" s="9"/>
    </row>
    <row r="72" customFormat="false" ht="15" hidden="false" customHeight="false" outlineLevel="0" collapsed="false">
      <c r="A72" s="9"/>
      <c r="B72" s="9"/>
      <c r="C72" s="9"/>
      <c r="D72" s="9"/>
      <c r="E72" s="9"/>
      <c r="F72" s="9"/>
      <c r="G72" s="9"/>
      <c r="H72" s="9"/>
      <c r="I72" s="9"/>
      <c r="J72" s="9"/>
      <c r="K72" s="9"/>
      <c r="L72" s="9"/>
      <c r="M72" s="9"/>
      <c r="N72" s="14" t="str">
        <f aca="false">IFERROR(L72/M72,"")</f>
        <v/>
      </c>
      <c r="O72" s="14" t="str">
        <f aca="false">IF(N72="","",IF(N72&gt;=200,"Yes","No"))</f>
        <v/>
      </c>
      <c r="P72" s="9"/>
      <c r="Q72" s="9"/>
      <c r="R72" s="9"/>
      <c r="S72" s="9"/>
      <c r="T72" s="9"/>
    </row>
    <row r="73" customFormat="false" ht="15" hidden="false" customHeight="false" outlineLevel="0" collapsed="false">
      <c r="A73" s="9"/>
      <c r="B73" s="9"/>
      <c r="C73" s="9"/>
      <c r="D73" s="9"/>
      <c r="E73" s="9"/>
      <c r="F73" s="9"/>
      <c r="G73" s="9"/>
      <c r="H73" s="9"/>
      <c r="I73" s="9"/>
      <c r="J73" s="9"/>
      <c r="K73" s="9"/>
      <c r="L73" s="9"/>
      <c r="M73" s="9"/>
      <c r="N73" s="14" t="str">
        <f aca="false">IFERROR(L73/M73,"")</f>
        <v/>
      </c>
      <c r="O73" s="14" t="str">
        <f aca="false">IF(N73="","",IF(N73&gt;=200,"Yes","No"))</f>
        <v/>
      </c>
      <c r="P73" s="9"/>
      <c r="Q73" s="9"/>
      <c r="R73" s="9"/>
      <c r="S73" s="9"/>
      <c r="T73" s="9"/>
    </row>
    <row r="74" customFormat="false" ht="15" hidden="false" customHeight="false" outlineLevel="0" collapsed="false">
      <c r="A74" s="9"/>
      <c r="B74" s="9"/>
      <c r="C74" s="9"/>
      <c r="D74" s="9"/>
      <c r="E74" s="9"/>
      <c r="F74" s="9"/>
      <c r="G74" s="9"/>
      <c r="H74" s="9"/>
      <c r="I74" s="9"/>
      <c r="J74" s="9"/>
      <c r="K74" s="9"/>
      <c r="L74" s="9"/>
      <c r="M74" s="9"/>
      <c r="N74" s="14" t="str">
        <f aca="false">IFERROR(L74/M74,"")</f>
        <v/>
      </c>
      <c r="O74" s="14" t="str">
        <f aca="false">IF(N74="","",IF(N74&gt;=200,"Yes","No"))</f>
        <v/>
      </c>
      <c r="P74" s="9"/>
      <c r="Q74" s="9"/>
      <c r="R74" s="9"/>
      <c r="S74" s="9"/>
      <c r="T74" s="9"/>
    </row>
    <row r="75" customFormat="false" ht="15" hidden="false" customHeight="false" outlineLevel="0" collapsed="false">
      <c r="A75" s="9"/>
      <c r="B75" s="9"/>
      <c r="C75" s="9"/>
      <c r="D75" s="9"/>
      <c r="E75" s="9"/>
      <c r="F75" s="9"/>
      <c r="G75" s="9"/>
      <c r="H75" s="9"/>
      <c r="I75" s="9"/>
      <c r="J75" s="9"/>
      <c r="K75" s="9"/>
      <c r="L75" s="9"/>
      <c r="M75" s="9"/>
      <c r="N75" s="14" t="str">
        <f aca="false">IFERROR(L75/M75,"")</f>
        <v/>
      </c>
      <c r="O75" s="14" t="str">
        <f aca="false">IF(N75="","",IF(N75&gt;=200,"Yes","No"))</f>
        <v/>
      </c>
      <c r="P75" s="9"/>
      <c r="Q75" s="9"/>
      <c r="R75" s="9"/>
      <c r="S75" s="9"/>
      <c r="T75" s="9"/>
    </row>
    <row r="76" customFormat="false" ht="15" hidden="false" customHeight="false" outlineLevel="0" collapsed="false">
      <c r="A76" s="9"/>
      <c r="B76" s="9"/>
      <c r="C76" s="9"/>
      <c r="D76" s="9"/>
      <c r="E76" s="9"/>
      <c r="F76" s="9"/>
      <c r="G76" s="9"/>
      <c r="H76" s="9"/>
      <c r="I76" s="9"/>
      <c r="J76" s="9"/>
      <c r="K76" s="9"/>
      <c r="L76" s="9"/>
      <c r="M76" s="9"/>
      <c r="N76" s="14" t="str">
        <f aca="false">IFERROR(L76/M76,"")</f>
        <v/>
      </c>
      <c r="O76" s="14" t="str">
        <f aca="false">IF(N76="","",IF(N76&gt;=200,"Yes","No"))</f>
        <v/>
      </c>
      <c r="P76" s="9"/>
      <c r="Q76" s="9"/>
      <c r="R76" s="9"/>
      <c r="S76" s="9"/>
      <c r="T76" s="9"/>
    </row>
    <row r="77" customFormat="false" ht="15" hidden="false" customHeight="false" outlineLevel="0" collapsed="false">
      <c r="A77" s="9"/>
      <c r="B77" s="9"/>
      <c r="C77" s="9"/>
      <c r="D77" s="9"/>
      <c r="E77" s="9"/>
      <c r="F77" s="9"/>
      <c r="G77" s="9"/>
      <c r="H77" s="9"/>
      <c r="I77" s="9"/>
      <c r="J77" s="9"/>
      <c r="K77" s="9"/>
      <c r="L77" s="9"/>
      <c r="M77" s="9"/>
      <c r="N77" s="14" t="str">
        <f aca="false">IFERROR(L77/M77,"")</f>
        <v/>
      </c>
      <c r="O77" s="14" t="str">
        <f aca="false">IF(N77="","",IF(N77&gt;=200,"Yes","No"))</f>
        <v/>
      </c>
      <c r="P77" s="9"/>
      <c r="Q77" s="9"/>
      <c r="R77" s="9"/>
      <c r="S77" s="9"/>
      <c r="T77" s="9"/>
    </row>
    <row r="78" customFormat="false" ht="15" hidden="false" customHeight="false" outlineLevel="0" collapsed="false">
      <c r="A78" s="9"/>
      <c r="B78" s="9"/>
      <c r="C78" s="9"/>
      <c r="D78" s="9"/>
      <c r="E78" s="9"/>
      <c r="F78" s="9"/>
      <c r="G78" s="9"/>
      <c r="H78" s="9"/>
      <c r="I78" s="9"/>
      <c r="J78" s="9"/>
      <c r="K78" s="9"/>
      <c r="L78" s="9"/>
      <c r="M78" s="9"/>
      <c r="N78" s="14" t="str">
        <f aca="false">IFERROR(L78/M78,"")</f>
        <v/>
      </c>
      <c r="O78" s="14" t="str">
        <f aca="false">IF(N78="","",IF(N78&gt;=200,"Yes","No"))</f>
        <v/>
      </c>
      <c r="P78" s="9"/>
      <c r="Q78" s="9"/>
      <c r="R78" s="9"/>
      <c r="S78" s="9"/>
      <c r="T78" s="9"/>
    </row>
    <row r="79" customFormat="false" ht="15" hidden="false" customHeight="false" outlineLevel="0" collapsed="false">
      <c r="A79" s="9"/>
      <c r="B79" s="9"/>
      <c r="C79" s="9"/>
      <c r="D79" s="9"/>
      <c r="E79" s="9"/>
      <c r="F79" s="9"/>
      <c r="G79" s="9"/>
      <c r="H79" s="9"/>
      <c r="I79" s="9"/>
      <c r="J79" s="9"/>
      <c r="K79" s="9"/>
      <c r="L79" s="9"/>
      <c r="M79" s="9"/>
      <c r="N79" s="14" t="str">
        <f aca="false">IFERROR(L79/M79,"")</f>
        <v/>
      </c>
      <c r="O79" s="14" t="str">
        <f aca="false">IF(N79="","",IF(N79&gt;=200,"Yes","No"))</f>
        <v/>
      </c>
      <c r="P79" s="9"/>
      <c r="Q79" s="9"/>
      <c r="R79" s="9"/>
      <c r="S79" s="9"/>
      <c r="T79" s="9"/>
    </row>
    <row r="80" customFormat="false" ht="15" hidden="false" customHeight="false" outlineLevel="0" collapsed="false">
      <c r="A80" s="9"/>
      <c r="B80" s="9"/>
      <c r="C80" s="9"/>
      <c r="D80" s="9"/>
      <c r="E80" s="9"/>
      <c r="F80" s="9"/>
      <c r="G80" s="9"/>
      <c r="H80" s="9"/>
      <c r="I80" s="9"/>
      <c r="J80" s="9"/>
      <c r="K80" s="9"/>
      <c r="L80" s="9"/>
      <c r="M80" s="9"/>
      <c r="N80" s="14" t="str">
        <f aca="false">IFERROR(L80/M80,"")</f>
        <v/>
      </c>
      <c r="O80" s="14" t="str">
        <f aca="false">IF(N80="","",IF(N80&gt;=200,"Yes","No"))</f>
        <v/>
      </c>
      <c r="P80" s="9"/>
      <c r="Q80" s="9"/>
      <c r="R80" s="9"/>
      <c r="S80" s="9"/>
      <c r="T80" s="9"/>
    </row>
    <row r="81" customFormat="false" ht="15" hidden="false" customHeight="false" outlineLevel="0" collapsed="false">
      <c r="A81" s="9"/>
      <c r="B81" s="9"/>
      <c r="C81" s="9"/>
      <c r="D81" s="9"/>
      <c r="E81" s="9"/>
      <c r="F81" s="9"/>
      <c r="G81" s="9"/>
      <c r="H81" s="9"/>
      <c r="I81" s="9"/>
      <c r="J81" s="9"/>
      <c r="K81" s="9"/>
      <c r="L81" s="9"/>
      <c r="M81" s="9"/>
      <c r="N81" s="14" t="str">
        <f aca="false">IFERROR(L81/M81,"")</f>
        <v/>
      </c>
      <c r="O81" s="14" t="str">
        <f aca="false">IF(N81="","",IF(N81&gt;=200,"Yes","No"))</f>
        <v/>
      </c>
      <c r="P81" s="9"/>
      <c r="Q81" s="9"/>
      <c r="R81" s="9"/>
      <c r="S81" s="9"/>
      <c r="T81" s="9"/>
    </row>
    <row r="82" customFormat="false" ht="15" hidden="false" customHeight="false" outlineLevel="0" collapsed="false">
      <c r="A82" s="9"/>
      <c r="B82" s="9"/>
      <c r="C82" s="9"/>
      <c r="D82" s="9"/>
      <c r="E82" s="9"/>
      <c r="F82" s="9"/>
      <c r="G82" s="9"/>
      <c r="H82" s="9"/>
      <c r="I82" s="9"/>
      <c r="J82" s="9"/>
      <c r="K82" s="9"/>
      <c r="L82" s="9"/>
      <c r="M82" s="9"/>
      <c r="N82" s="14" t="str">
        <f aca="false">IFERROR(L82/M82,"")</f>
        <v/>
      </c>
      <c r="O82" s="14" t="str">
        <f aca="false">IF(N82="","",IF(N82&gt;=200,"Yes","No"))</f>
        <v/>
      </c>
      <c r="P82" s="9"/>
      <c r="Q82" s="9"/>
      <c r="R82" s="9"/>
      <c r="S82" s="9"/>
      <c r="T82" s="9"/>
    </row>
    <row r="83" customFormat="false" ht="15" hidden="false" customHeight="false" outlineLevel="0" collapsed="false">
      <c r="A83" s="9"/>
      <c r="B83" s="9"/>
      <c r="C83" s="9"/>
      <c r="D83" s="9"/>
      <c r="E83" s="9"/>
      <c r="F83" s="9"/>
      <c r="G83" s="9"/>
      <c r="H83" s="9"/>
      <c r="I83" s="9"/>
      <c r="J83" s="9"/>
      <c r="K83" s="9"/>
      <c r="L83" s="9"/>
      <c r="M83" s="9"/>
      <c r="N83" s="14" t="str">
        <f aca="false">IFERROR(L83/M83,"")</f>
        <v/>
      </c>
      <c r="O83" s="14" t="str">
        <f aca="false">IF(N83="","",IF(N83&gt;=200,"Yes","No"))</f>
        <v/>
      </c>
      <c r="P83" s="9"/>
      <c r="Q83" s="9"/>
      <c r="R83" s="9"/>
      <c r="S83" s="9"/>
      <c r="T83" s="9"/>
    </row>
    <row r="84" customFormat="false" ht="15" hidden="false" customHeight="false" outlineLevel="0" collapsed="false">
      <c r="A84" s="9"/>
      <c r="B84" s="9"/>
      <c r="C84" s="9"/>
      <c r="D84" s="9"/>
      <c r="E84" s="9"/>
      <c r="F84" s="9"/>
      <c r="G84" s="9"/>
      <c r="H84" s="9"/>
      <c r="I84" s="9"/>
      <c r="J84" s="9"/>
      <c r="K84" s="9"/>
      <c r="L84" s="9"/>
      <c r="M84" s="9"/>
      <c r="N84" s="14" t="str">
        <f aca="false">IFERROR(L84/M84,"")</f>
        <v/>
      </c>
      <c r="O84" s="14" t="str">
        <f aca="false">IF(N84="","",IF(N84&gt;=200,"Yes","No"))</f>
        <v/>
      </c>
      <c r="P84" s="9"/>
      <c r="Q84" s="9"/>
      <c r="R84" s="9"/>
      <c r="S84" s="9"/>
      <c r="T84" s="9"/>
    </row>
    <row r="85" customFormat="false" ht="15" hidden="false" customHeight="false" outlineLevel="0" collapsed="false">
      <c r="A85" s="9"/>
      <c r="B85" s="9"/>
      <c r="C85" s="9"/>
      <c r="D85" s="9"/>
      <c r="E85" s="9"/>
      <c r="F85" s="9"/>
      <c r="G85" s="9"/>
      <c r="H85" s="9"/>
      <c r="I85" s="9"/>
      <c r="J85" s="9"/>
      <c r="K85" s="9"/>
      <c r="L85" s="9"/>
      <c r="M85" s="9"/>
      <c r="N85" s="14" t="str">
        <f aca="false">IFERROR(L85/M85,"")</f>
        <v/>
      </c>
      <c r="O85" s="14" t="str">
        <f aca="false">IF(N85="","",IF(N85&gt;=200,"Yes","No"))</f>
        <v/>
      </c>
      <c r="P85" s="9"/>
      <c r="Q85" s="9"/>
      <c r="R85" s="9"/>
      <c r="S85" s="9"/>
      <c r="T85" s="9"/>
    </row>
    <row r="86" customFormat="false" ht="15" hidden="false" customHeight="false" outlineLevel="0" collapsed="false">
      <c r="A86" s="9"/>
      <c r="B86" s="9"/>
      <c r="C86" s="9"/>
      <c r="D86" s="9"/>
      <c r="E86" s="9"/>
      <c r="F86" s="9"/>
      <c r="G86" s="9"/>
      <c r="H86" s="9"/>
      <c r="I86" s="9"/>
      <c r="J86" s="9"/>
      <c r="K86" s="9"/>
      <c r="L86" s="9"/>
      <c r="M86" s="9"/>
      <c r="N86" s="14" t="str">
        <f aca="false">IFERROR(L86/M86,"")</f>
        <v/>
      </c>
      <c r="O86" s="14" t="str">
        <f aca="false">IF(N86="","",IF(N86&gt;=200,"Yes","No"))</f>
        <v/>
      </c>
      <c r="P86" s="9"/>
      <c r="Q86" s="9"/>
      <c r="R86" s="9"/>
      <c r="S86" s="9"/>
      <c r="T86" s="9"/>
    </row>
    <row r="87" customFormat="false" ht="15" hidden="false" customHeight="false" outlineLevel="0" collapsed="false">
      <c r="A87" s="9"/>
      <c r="B87" s="9"/>
      <c r="C87" s="9"/>
      <c r="D87" s="9"/>
      <c r="E87" s="9"/>
      <c r="F87" s="9"/>
      <c r="G87" s="9"/>
      <c r="H87" s="9"/>
      <c r="I87" s="9"/>
      <c r="J87" s="9"/>
      <c r="K87" s="9"/>
      <c r="L87" s="9"/>
      <c r="M87" s="9"/>
      <c r="N87" s="14" t="str">
        <f aca="false">IFERROR(L87/M87,"")</f>
        <v/>
      </c>
      <c r="O87" s="14" t="str">
        <f aca="false">IF(N87="","",IF(N87&gt;=200,"Yes","No"))</f>
        <v/>
      </c>
      <c r="P87" s="9"/>
      <c r="Q87" s="9"/>
      <c r="R87" s="9"/>
      <c r="S87" s="9"/>
      <c r="T87" s="9"/>
    </row>
    <row r="88" customFormat="false" ht="15" hidden="false" customHeight="false" outlineLevel="0" collapsed="false">
      <c r="A88" s="9"/>
      <c r="B88" s="9"/>
      <c r="C88" s="9"/>
      <c r="D88" s="9"/>
      <c r="E88" s="9"/>
      <c r="F88" s="9"/>
      <c r="G88" s="9"/>
      <c r="H88" s="9"/>
      <c r="I88" s="9"/>
      <c r="J88" s="9"/>
      <c r="K88" s="9"/>
      <c r="L88" s="9"/>
      <c r="M88" s="9"/>
      <c r="N88" s="14" t="str">
        <f aca="false">IFERROR(L88/M88,"")</f>
        <v/>
      </c>
      <c r="O88" s="14" t="str">
        <f aca="false">IF(N88="","",IF(N88&gt;=200,"Yes","No"))</f>
        <v/>
      </c>
      <c r="P88" s="9"/>
      <c r="Q88" s="9"/>
      <c r="R88" s="9"/>
      <c r="S88" s="9"/>
      <c r="T88" s="9"/>
    </row>
    <row r="89" customFormat="false" ht="15" hidden="false" customHeight="false" outlineLevel="0" collapsed="false">
      <c r="A89" s="9"/>
      <c r="B89" s="9"/>
      <c r="C89" s="9"/>
      <c r="D89" s="9"/>
      <c r="E89" s="9"/>
      <c r="F89" s="9"/>
      <c r="G89" s="9"/>
      <c r="H89" s="9"/>
      <c r="I89" s="9"/>
      <c r="J89" s="9"/>
      <c r="K89" s="9"/>
      <c r="L89" s="9"/>
      <c r="M89" s="9"/>
      <c r="N89" s="14" t="str">
        <f aca="false">IFERROR(L89/M89,"")</f>
        <v/>
      </c>
      <c r="O89" s="14" t="str">
        <f aca="false">IF(N89="","",IF(N89&gt;=200,"Yes","No"))</f>
        <v/>
      </c>
      <c r="P89" s="9"/>
      <c r="Q89" s="9"/>
      <c r="R89" s="9"/>
      <c r="S89" s="9"/>
      <c r="T89" s="9"/>
    </row>
    <row r="90" customFormat="false" ht="15" hidden="false" customHeight="false" outlineLevel="0" collapsed="false">
      <c r="A90" s="9"/>
      <c r="B90" s="9"/>
      <c r="C90" s="9"/>
      <c r="D90" s="9"/>
      <c r="E90" s="9"/>
      <c r="F90" s="9"/>
      <c r="G90" s="9"/>
      <c r="H90" s="9"/>
      <c r="I90" s="9"/>
      <c r="J90" s="9"/>
      <c r="K90" s="9"/>
      <c r="L90" s="9"/>
      <c r="M90" s="9"/>
      <c r="N90" s="14" t="str">
        <f aca="false">IFERROR(L90/M90,"")</f>
        <v/>
      </c>
      <c r="O90" s="14" t="str">
        <f aca="false">IF(N90="","",IF(N90&gt;=200,"Yes","No"))</f>
        <v/>
      </c>
      <c r="P90" s="9"/>
      <c r="Q90" s="9"/>
      <c r="R90" s="9"/>
      <c r="S90" s="9"/>
      <c r="T90" s="9"/>
    </row>
    <row r="91" customFormat="false" ht="15" hidden="false" customHeight="false" outlineLevel="0" collapsed="false">
      <c r="A91" s="9"/>
      <c r="B91" s="9"/>
      <c r="C91" s="9"/>
      <c r="D91" s="9"/>
      <c r="E91" s="9"/>
      <c r="F91" s="9"/>
      <c r="G91" s="9"/>
      <c r="H91" s="9"/>
      <c r="I91" s="9"/>
      <c r="J91" s="9"/>
      <c r="K91" s="9"/>
      <c r="L91" s="9"/>
      <c r="M91" s="9"/>
      <c r="N91" s="14" t="str">
        <f aca="false">IFERROR(L91/M91,"")</f>
        <v/>
      </c>
      <c r="O91" s="14" t="str">
        <f aca="false">IF(N91="","",IF(N91&gt;=200,"Yes","No"))</f>
        <v/>
      </c>
      <c r="P91" s="9"/>
      <c r="Q91" s="9"/>
      <c r="R91" s="9"/>
      <c r="S91" s="9"/>
      <c r="T91" s="9"/>
    </row>
    <row r="92" customFormat="false" ht="15" hidden="false" customHeight="false" outlineLevel="0" collapsed="false">
      <c r="A92" s="9"/>
      <c r="B92" s="9"/>
      <c r="C92" s="9"/>
      <c r="D92" s="9"/>
      <c r="E92" s="9"/>
      <c r="F92" s="9"/>
      <c r="G92" s="9"/>
      <c r="H92" s="9"/>
      <c r="I92" s="9"/>
      <c r="J92" s="9"/>
      <c r="K92" s="9"/>
      <c r="L92" s="9"/>
      <c r="M92" s="9"/>
      <c r="N92" s="14" t="str">
        <f aca="false">IFERROR(L92/M92,"")</f>
        <v/>
      </c>
      <c r="O92" s="14" t="str">
        <f aca="false">IF(N92="","",IF(N92&gt;=200,"Yes","No"))</f>
        <v/>
      </c>
      <c r="P92" s="9"/>
      <c r="Q92" s="9"/>
      <c r="R92" s="9"/>
      <c r="S92" s="9"/>
      <c r="T92" s="9"/>
    </row>
    <row r="93" customFormat="false" ht="15" hidden="false" customHeight="false" outlineLevel="0" collapsed="false">
      <c r="A93" s="9"/>
      <c r="B93" s="9"/>
      <c r="C93" s="9"/>
      <c r="D93" s="9"/>
      <c r="E93" s="9"/>
      <c r="F93" s="9"/>
      <c r="G93" s="9"/>
      <c r="H93" s="9"/>
      <c r="I93" s="9"/>
      <c r="J93" s="9"/>
      <c r="K93" s="9"/>
      <c r="L93" s="9"/>
      <c r="M93" s="9"/>
      <c r="N93" s="14" t="str">
        <f aca="false">IFERROR(L93/M93,"")</f>
        <v/>
      </c>
      <c r="O93" s="14" t="str">
        <f aca="false">IF(N93="","",IF(N93&gt;=200,"Yes","No"))</f>
        <v/>
      </c>
      <c r="P93" s="9"/>
      <c r="Q93" s="9"/>
      <c r="R93" s="9"/>
      <c r="S93" s="9"/>
      <c r="T93" s="9"/>
    </row>
    <row r="94" customFormat="false" ht="15" hidden="false" customHeight="false" outlineLevel="0" collapsed="false">
      <c r="A94" s="9"/>
      <c r="B94" s="9"/>
      <c r="C94" s="9"/>
      <c r="D94" s="9"/>
      <c r="E94" s="9"/>
      <c r="F94" s="9"/>
      <c r="G94" s="9"/>
      <c r="H94" s="9"/>
      <c r="I94" s="9"/>
      <c r="J94" s="9"/>
      <c r="K94" s="9"/>
      <c r="L94" s="9"/>
      <c r="M94" s="9"/>
      <c r="N94" s="14" t="str">
        <f aca="false">IFERROR(L94/M94,"")</f>
        <v/>
      </c>
      <c r="O94" s="14" t="str">
        <f aca="false">IF(N94="","",IF(N94&gt;=200,"Yes","No"))</f>
        <v/>
      </c>
      <c r="P94" s="9"/>
      <c r="Q94" s="9"/>
      <c r="R94" s="9"/>
      <c r="S94" s="9"/>
      <c r="T94" s="9"/>
    </row>
    <row r="95" customFormat="false" ht="15" hidden="false" customHeight="false" outlineLevel="0" collapsed="false">
      <c r="A95" s="9"/>
      <c r="B95" s="9"/>
      <c r="C95" s="9"/>
      <c r="D95" s="9"/>
      <c r="E95" s="9"/>
      <c r="F95" s="9"/>
      <c r="G95" s="9"/>
      <c r="H95" s="9"/>
      <c r="I95" s="9"/>
      <c r="J95" s="9"/>
      <c r="K95" s="9"/>
      <c r="L95" s="9"/>
      <c r="M95" s="9"/>
      <c r="N95" s="14" t="str">
        <f aca="false">IFERROR(L95/M95,"")</f>
        <v/>
      </c>
      <c r="O95" s="14" t="str">
        <f aca="false">IF(N95="","",IF(N95&gt;=200,"Yes","No"))</f>
        <v/>
      </c>
      <c r="P95" s="9"/>
      <c r="Q95" s="9"/>
      <c r="R95" s="9"/>
      <c r="S95" s="9"/>
      <c r="T95" s="9"/>
    </row>
    <row r="96" customFormat="false" ht="15" hidden="false" customHeight="false" outlineLevel="0" collapsed="false">
      <c r="A96" s="9"/>
      <c r="B96" s="9"/>
      <c r="C96" s="9"/>
      <c r="D96" s="9"/>
      <c r="E96" s="9"/>
      <c r="F96" s="9"/>
      <c r="G96" s="9"/>
      <c r="H96" s="9"/>
      <c r="I96" s="9"/>
      <c r="J96" s="9"/>
      <c r="K96" s="9"/>
      <c r="L96" s="9"/>
      <c r="M96" s="9"/>
      <c r="N96" s="14" t="str">
        <f aca="false">IFERROR(L96/M96,"")</f>
        <v/>
      </c>
      <c r="O96" s="14" t="str">
        <f aca="false">IF(N96="","",IF(N96&gt;=200,"Yes","No"))</f>
        <v/>
      </c>
      <c r="P96" s="9"/>
      <c r="Q96" s="9"/>
      <c r="R96" s="9"/>
      <c r="S96" s="9"/>
      <c r="T96" s="9"/>
    </row>
    <row r="97" customFormat="false" ht="15" hidden="false" customHeight="false" outlineLevel="0" collapsed="false">
      <c r="A97" s="9"/>
      <c r="B97" s="9"/>
      <c r="C97" s="9"/>
      <c r="D97" s="9"/>
      <c r="E97" s="9"/>
      <c r="F97" s="9"/>
      <c r="G97" s="9"/>
      <c r="H97" s="9"/>
      <c r="I97" s="9"/>
      <c r="J97" s="9"/>
      <c r="K97" s="9"/>
      <c r="L97" s="9"/>
      <c r="M97" s="9"/>
      <c r="N97" s="14" t="str">
        <f aca="false">IFERROR(L97/M97,"")</f>
        <v/>
      </c>
      <c r="O97" s="14" t="str">
        <f aca="false">IF(N97="","",IF(N97&gt;=200,"Yes","No"))</f>
        <v/>
      </c>
      <c r="P97" s="9"/>
      <c r="Q97" s="9"/>
      <c r="R97" s="9"/>
      <c r="S97" s="9"/>
      <c r="T97" s="9"/>
    </row>
    <row r="98" customFormat="false" ht="15" hidden="false" customHeight="false" outlineLevel="0" collapsed="false">
      <c r="A98" s="9"/>
      <c r="B98" s="9"/>
      <c r="C98" s="9"/>
      <c r="D98" s="9"/>
      <c r="E98" s="9"/>
      <c r="F98" s="9"/>
      <c r="G98" s="9"/>
      <c r="H98" s="9"/>
      <c r="I98" s="9"/>
      <c r="J98" s="9"/>
      <c r="K98" s="9"/>
      <c r="L98" s="9"/>
      <c r="M98" s="9"/>
      <c r="N98" s="14" t="str">
        <f aca="false">IFERROR(L98/M98,"")</f>
        <v/>
      </c>
      <c r="O98" s="14" t="str">
        <f aca="false">IF(N98="","",IF(N98&gt;=200,"Yes","No"))</f>
        <v/>
      </c>
      <c r="P98" s="9"/>
      <c r="Q98" s="9"/>
      <c r="R98" s="9"/>
      <c r="S98" s="9"/>
      <c r="T98" s="9"/>
    </row>
    <row r="99" customFormat="false" ht="15" hidden="false" customHeight="false" outlineLevel="0" collapsed="false">
      <c r="A99" s="9"/>
      <c r="B99" s="9"/>
      <c r="C99" s="9"/>
      <c r="D99" s="9"/>
      <c r="E99" s="9"/>
      <c r="F99" s="9"/>
      <c r="G99" s="9"/>
      <c r="H99" s="9"/>
      <c r="I99" s="9"/>
      <c r="J99" s="9"/>
      <c r="K99" s="9"/>
      <c r="L99" s="9"/>
      <c r="M99" s="9"/>
      <c r="N99" s="14" t="str">
        <f aca="false">IFERROR(L99/M99,"")</f>
        <v/>
      </c>
      <c r="O99" s="14" t="str">
        <f aca="false">IF(N99="","",IF(N99&gt;=200,"Yes","No"))</f>
        <v/>
      </c>
      <c r="P99" s="9"/>
      <c r="Q99" s="9"/>
      <c r="R99" s="9"/>
      <c r="S99" s="9"/>
      <c r="T99" s="9"/>
    </row>
    <row r="100" customFormat="false" ht="15" hidden="false" customHeight="false" outlineLevel="0" collapsed="false">
      <c r="A100" s="9"/>
      <c r="B100" s="9"/>
      <c r="C100" s="9"/>
      <c r="D100" s="9"/>
      <c r="E100" s="9"/>
      <c r="F100" s="9"/>
      <c r="G100" s="9"/>
      <c r="H100" s="9"/>
      <c r="I100" s="9"/>
      <c r="J100" s="9"/>
      <c r="K100" s="9"/>
      <c r="L100" s="9"/>
      <c r="M100" s="9"/>
      <c r="N100" s="14" t="str">
        <f aca="false">IFERROR(L100/M100,"")</f>
        <v/>
      </c>
      <c r="O100" s="14" t="str">
        <f aca="false">IF(N100="","",IF(N100&gt;=200,"Yes","No"))</f>
        <v/>
      </c>
      <c r="P100" s="9"/>
      <c r="Q100" s="9"/>
      <c r="R100" s="9"/>
      <c r="S100" s="9"/>
      <c r="T100" s="9"/>
    </row>
    <row r="101" customFormat="false" ht="15" hidden="false" customHeight="false" outlineLevel="0" collapsed="false">
      <c r="A101" s="9"/>
      <c r="B101" s="9"/>
      <c r="C101" s="9"/>
      <c r="D101" s="9"/>
      <c r="E101" s="9"/>
      <c r="F101" s="9"/>
      <c r="G101" s="9"/>
      <c r="H101" s="9"/>
      <c r="I101" s="9"/>
      <c r="J101" s="9"/>
      <c r="K101" s="9"/>
      <c r="L101" s="9"/>
      <c r="M101" s="9"/>
      <c r="N101" s="14" t="str">
        <f aca="false">IFERROR(L101/M101,"")</f>
        <v/>
      </c>
      <c r="O101" s="14" t="str">
        <f aca="false">IF(N101="","",IF(N101&gt;=200,"Yes","No"))</f>
        <v/>
      </c>
      <c r="P101" s="9"/>
      <c r="Q101" s="9"/>
      <c r="R101" s="9"/>
      <c r="S101" s="9"/>
      <c r="T101" s="9"/>
    </row>
    <row r="102" customFormat="false" ht="15" hidden="false" customHeight="false" outlineLevel="0" collapsed="false">
      <c r="A102" s="9"/>
      <c r="B102" s="9"/>
      <c r="C102" s="9"/>
      <c r="D102" s="9"/>
      <c r="E102" s="9"/>
      <c r="F102" s="9"/>
      <c r="G102" s="9"/>
      <c r="H102" s="9"/>
      <c r="I102" s="9"/>
      <c r="J102" s="9"/>
      <c r="K102" s="9"/>
      <c r="L102" s="9"/>
      <c r="M102" s="9"/>
      <c r="N102" s="14" t="str">
        <f aca="false">IFERROR(L102/M102,"")</f>
        <v/>
      </c>
      <c r="O102" s="14" t="str">
        <f aca="false">IF(N102="","",IF(N102&gt;=200,"Yes","No"))</f>
        <v/>
      </c>
      <c r="P102" s="9"/>
      <c r="Q102" s="9"/>
      <c r="R102" s="9"/>
      <c r="S102" s="9"/>
      <c r="T102" s="9"/>
    </row>
    <row r="103" customFormat="false" ht="15" hidden="false" customHeight="false" outlineLevel="0" collapsed="false">
      <c r="A103" s="9"/>
      <c r="B103" s="9"/>
      <c r="C103" s="9"/>
      <c r="D103" s="9"/>
      <c r="E103" s="9"/>
      <c r="F103" s="9"/>
      <c r="G103" s="9"/>
      <c r="H103" s="9"/>
      <c r="I103" s="9"/>
      <c r="J103" s="9"/>
      <c r="K103" s="9"/>
      <c r="L103" s="9"/>
      <c r="M103" s="9"/>
      <c r="N103" s="14" t="str">
        <f aca="false">IFERROR(L103/M103,"")</f>
        <v/>
      </c>
      <c r="O103" s="14" t="str">
        <f aca="false">IF(N103="","",IF(N103&gt;=200,"Yes","No"))</f>
        <v/>
      </c>
      <c r="P103" s="9"/>
      <c r="Q103" s="9"/>
      <c r="R103" s="9"/>
      <c r="S103" s="9"/>
      <c r="T103" s="9"/>
    </row>
    <row r="104" customFormat="false" ht="15" hidden="false" customHeight="false" outlineLevel="0" collapsed="false">
      <c r="A104" s="9"/>
      <c r="B104" s="9"/>
      <c r="C104" s="9"/>
      <c r="D104" s="9"/>
      <c r="E104" s="9"/>
      <c r="F104" s="9"/>
      <c r="G104" s="9"/>
      <c r="H104" s="9"/>
      <c r="I104" s="9"/>
      <c r="J104" s="9"/>
      <c r="K104" s="9"/>
      <c r="L104" s="9"/>
      <c r="M104" s="9"/>
      <c r="N104" s="14" t="str">
        <f aca="false">IFERROR(L104/M104,"")</f>
        <v/>
      </c>
      <c r="O104" s="14" t="str">
        <f aca="false">IF(N104="","",IF(N104&gt;=200,"Yes","No"))</f>
        <v/>
      </c>
      <c r="P104" s="9"/>
      <c r="Q104" s="9"/>
      <c r="R104" s="9"/>
      <c r="S104" s="9"/>
      <c r="T104" s="9"/>
    </row>
    <row r="105" customFormat="false" ht="15" hidden="false" customHeight="false" outlineLevel="0" collapsed="false">
      <c r="A105" s="9"/>
      <c r="B105" s="9"/>
      <c r="C105" s="9"/>
      <c r="D105" s="9"/>
      <c r="E105" s="9"/>
      <c r="F105" s="9"/>
      <c r="G105" s="9"/>
      <c r="H105" s="9"/>
      <c r="I105" s="9"/>
      <c r="J105" s="9"/>
      <c r="K105" s="9"/>
      <c r="L105" s="9"/>
      <c r="M105" s="9"/>
      <c r="N105" s="14" t="str">
        <f aca="false">IFERROR(L105/M105,"")</f>
        <v/>
      </c>
      <c r="O105" s="14" t="str">
        <f aca="false">IF(N105="","",IF(N105&gt;=200,"Yes","No"))</f>
        <v/>
      </c>
      <c r="P105" s="9"/>
      <c r="Q105" s="9"/>
      <c r="R105" s="9"/>
      <c r="S105" s="9"/>
      <c r="T105" s="9"/>
    </row>
    <row r="106" customFormat="false" ht="15" hidden="false" customHeight="false" outlineLevel="0" collapsed="false">
      <c r="A106" s="9"/>
      <c r="B106" s="9"/>
      <c r="C106" s="9"/>
      <c r="D106" s="9"/>
      <c r="E106" s="9"/>
      <c r="F106" s="9"/>
      <c r="G106" s="9"/>
      <c r="H106" s="9"/>
      <c r="I106" s="9"/>
      <c r="J106" s="9"/>
      <c r="K106" s="9"/>
      <c r="L106" s="9"/>
      <c r="M106" s="9"/>
      <c r="N106" s="14" t="str">
        <f aca="false">IFERROR(L106/M106,"")</f>
        <v/>
      </c>
      <c r="O106" s="14" t="str">
        <f aca="false">IF(N106="","",IF(N106&gt;=200,"Yes","No"))</f>
        <v/>
      </c>
      <c r="P106" s="9"/>
      <c r="Q106" s="9"/>
      <c r="R106" s="9"/>
      <c r="S106" s="9"/>
      <c r="T106" s="9"/>
    </row>
    <row r="107" customFormat="false" ht="15" hidden="false" customHeight="false" outlineLevel="0" collapsed="false">
      <c r="A107" s="9"/>
      <c r="B107" s="9"/>
      <c r="C107" s="9"/>
      <c r="D107" s="9"/>
      <c r="E107" s="9"/>
      <c r="F107" s="9"/>
      <c r="G107" s="9"/>
      <c r="H107" s="9"/>
      <c r="I107" s="9"/>
      <c r="J107" s="9"/>
      <c r="K107" s="9"/>
      <c r="L107" s="9"/>
      <c r="M107" s="9"/>
      <c r="N107" s="14" t="str">
        <f aca="false">IFERROR(L107/M107,"")</f>
        <v/>
      </c>
      <c r="O107" s="14" t="str">
        <f aca="false">IF(N107="","",IF(N107&gt;=200,"Yes","No"))</f>
        <v/>
      </c>
      <c r="P107" s="9"/>
      <c r="Q107" s="9"/>
      <c r="R107" s="9"/>
      <c r="S107" s="9"/>
      <c r="T107" s="9"/>
    </row>
    <row r="108" customFormat="false" ht="15" hidden="false" customHeight="false" outlineLevel="0" collapsed="false">
      <c r="A108" s="9"/>
      <c r="B108" s="9"/>
      <c r="C108" s="9"/>
      <c r="D108" s="9"/>
      <c r="E108" s="9"/>
      <c r="F108" s="9"/>
      <c r="G108" s="9"/>
      <c r="H108" s="9"/>
      <c r="I108" s="9"/>
      <c r="J108" s="9"/>
      <c r="K108" s="9"/>
      <c r="L108" s="9"/>
      <c r="M108" s="9"/>
      <c r="N108" s="14" t="str">
        <f aca="false">IFERROR(L108/M108,"")</f>
        <v/>
      </c>
      <c r="O108" s="14" t="str">
        <f aca="false">IF(N108="","",IF(N108&gt;=200,"Yes","No"))</f>
        <v/>
      </c>
      <c r="P108" s="9"/>
      <c r="Q108" s="9"/>
      <c r="R108" s="9"/>
      <c r="S108" s="9"/>
      <c r="T108" s="9"/>
    </row>
    <row r="109" customFormat="false" ht="15" hidden="false" customHeight="false" outlineLevel="0" collapsed="false">
      <c r="A109" s="9"/>
      <c r="B109" s="9"/>
      <c r="C109" s="9"/>
      <c r="D109" s="9"/>
      <c r="E109" s="9"/>
      <c r="F109" s="9"/>
      <c r="G109" s="9"/>
      <c r="H109" s="9"/>
      <c r="I109" s="9"/>
      <c r="J109" s="9"/>
      <c r="K109" s="9"/>
      <c r="L109" s="9"/>
      <c r="M109" s="9"/>
      <c r="N109" s="14" t="str">
        <f aca="false">IFERROR(L109/M109,"")</f>
        <v/>
      </c>
      <c r="O109" s="14" t="str">
        <f aca="false">IF(N109="","",IF(N109&gt;=200,"Yes","No"))</f>
        <v/>
      </c>
      <c r="P109" s="9"/>
      <c r="Q109" s="9"/>
      <c r="R109" s="9"/>
      <c r="S109" s="9"/>
      <c r="T109" s="9"/>
    </row>
    <row r="110" customFormat="false" ht="15" hidden="false" customHeight="false" outlineLevel="0" collapsed="false">
      <c r="A110" s="9"/>
      <c r="B110" s="9"/>
      <c r="C110" s="9"/>
      <c r="D110" s="9"/>
      <c r="E110" s="9"/>
      <c r="F110" s="9"/>
      <c r="G110" s="9"/>
      <c r="H110" s="9"/>
      <c r="I110" s="9"/>
      <c r="J110" s="9"/>
      <c r="K110" s="9"/>
      <c r="L110" s="9"/>
      <c r="M110" s="9"/>
      <c r="N110" s="14" t="str">
        <f aca="false">IFERROR(L110/M110,"")</f>
        <v/>
      </c>
      <c r="O110" s="14" t="str">
        <f aca="false">IF(N110="","",IF(N110&gt;=200,"Yes","No"))</f>
        <v/>
      </c>
      <c r="P110" s="9"/>
      <c r="Q110" s="9"/>
      <c r="R110" s="9"/>
      <c r="S110" s="9"/>
      <c r="T110" s="9"/>
    </row>
    <row r="111" customFormat="false" ht="15" hidden="false" customHeight="false" outlineLevel="0" collapsed="false">
      <c r="A111" s="9"/>
      <c r="B111" s="9"/>
      <c r="C111" s="9"/>
      <c r="D111" s="9"/>
      <c r="E111" s="9"/>
      <c r="F111" s="9"/>
      <c r="G111" s="9"/>
      <c r="H111" s="9"/>
      <c r="I111" s="9"/>
      <c r="J111" s="9"/>
      <c r="K111" s="9"/>
      <c r="L111" s="9"/>
      <c r="M111" s="9"/>
      <c r="N111" s="14" t="str">
        <f aca="false">IFERROR(L111/M111,"")</f>
        <v/>
      </c>
      <c r="O111" s="14" t="str">
        <f aca="false">IF(N111="","",IF(N111&gt;=200,"Yes","No"))</f>
        <v/>
      </c>
      <c r="P111" s="9"/>
      <c r="Q111" s="9"/>
      <c r="R111" s="9"/>
      <c r="S111" s="9"/>
      <c r="T111" s="9"/>
    </row>
    <row r="112" customFormat="false" ht="15" hidden="false" customHeight="false" outlineLevel="0" collapsed="false">
      <c r="A112" s="9"/>
      <c r="B112" s="9"/>
      <c r="C112" s="9"/>
      <c r="D112" s="9"/>
      <c r="E112" s="9"/>
      <c r="F112" s="9"/>
      <c r="G112" s="9"/>
      <c r="H112" s="9"/>
      <c r="I112" s="9"/>
      <c r="J112" s="9"/>
      <c r="K112" s="9"/>
      <c r="L112" s="9"/>
      <c r="M112" s="9"/>
      <c r="N112" s="14" t="str">
        <f aca="false">IFERROR(L112/M112,"")</f>
        <v/>
      </c>
      <c r="O112" s="14" t="str">
        <f aca="false">IF(N112="","",IF(N112&gt;=200,"Yes","No"))</f>
        <v/>
      </c>
      <c r="P112" s="9"/>
      <c r="Q112" s="9"/>
      <c r="R112" s="9"/>
      <c r="S112" s="9"/>
      <c r="T112" s="9"/>
    </row>
    <row r="113" customFormat="false" ht="15" hidden="false" customHeight="false" outlineLevel="0" collapsed="false">
      <c r="A113" s="9"/>
      <c r="B113" s="9"/>
      <c r="C113" s="9"/>
      <c r="D113" s="9"/>
      <c r="E113" s="9"/>
      <c r="F113" s="9"/>
      <c r="G113" s="9"/>
      <c r="H113" s="9"/>
      <c r="I113" s="9"/>
      <c r="J113" s="9"/>
      <c r="K113" s="9"/>
      <c r="L113" s="9"/>
      <c r="M113" s="9"/>
      <c r="N113" s="14" t="str">
        <f aca="false">IFERROR(L113/M113,"")</f>
        <v/>
      </c>
      <c r="O113" s="14" t="str">
        <f aca="false">IF(N113="","",IF(N113&gt;=200,"Yes","No"))</f>
        <v/>
      </c>
      <c r="P113" s="9"/>
      <c r="Q113" s="9"/>
      <c r="R113" s="9"/>
      <c r="S113" s="9"/>
      <c r="T113" s="9"/>
    </row>
    <row r="114" customFormat="false" ht="15" hidden="false" customHeight="false" outlineLevel="0" collapsed="false">
      <c r="A114" s="9"/>
      <c r="B114" s="9"/>
      <c r="C114" s="9"/>
      <c r="D114" s="9"/>
      <c r="E114" s="9"/>
      <c r="F114" s="9"/>
      <c r="G114" s="9"/>
      <c r="H114" s="9"/>
      <c r="I114" s="9"/>
      <c r="J114" s="9"/>
      <c r="K114" s="9"/>
      <c r="L114" s="9"/>
      <c r="M114" s="9"/>
      <c r="N114" s="14" t="str">
        <f aca="false">IFERROR(L114/M114,"")</f>
        <v/>
      </c>
      <c r="O114" s="14" t="str">
        <f aca="false">IF(N114="","",IF(N114&gt;=200,"Yes","No"))</f>
        <v/>
      </c>
      <c r="P114" s="9"/>
      <c r="Q114" s="9"/>
      <c r="R114" s="9"/>
      <c r="S114" s="9"/>
      <c r="T114" s="9"/>
    </row>
    <row r="115" customFormat="false" ht="15" hidden="false" customHeight="false" outlineLevel="0" collapsed="false">
      <c r="A115" s="9"/>
      <c r="B115" s="9"/>
      <c r="C115" s="9"/>
      <c r="D115" s="9"/>
      <c r="E115" s="9"/>
      <c r="F115" s="9"/>
      <c r="G115" s="9"/>
      <c r="H115" s="9"/>
      <c r="I115" s="9"/>
      <c r="J115" s="9"/>
      <c r="K115" s="9"/>
      <c r="L115" s="9"/>
      <c r="M115" s="9"/>
      <c r="N115" s="14" t="str">
        <f aca="false">IFERROR(L115/M115,"")</f>
        <v/>
      </c>
      <c r="O115" s="14" t="str">
        <f aca="false">IF(N115="","",IF(N115&gt;=200,"Yes","No"))</f>
        <v/>
      </c>
      <c r="P115" s="9"/>
      <c r="Q115" s="9"/>
      <c r="R115" s="9"/>
      <c r="S115" s="9"/>
      <c r="T115" s="9"/>
    </row>
    <row r="116" customFormat="false" ht="15" hidden="false" customHeight="false" outlineLevel="0" collapsed="false">
      <c r="A116" s="9"/>
      <c r="B116" s="9"/>
      <c r="C116" s="9"/>
      <c r="D116" s="9"/>
      <c r="E116" s="9"/>
      <c r="F116" s="9"/>
      <c r="G116" s="9"/>
      <c r="H116" s="9"/>
      <c r="I116" s="9"/>
      <c r="J116" s="9"/>
      <c r="K116" s="9"/>
      <c r="L116" s="9"/>
      <c r="M116" s="9"/>
      <c r="N116" s="14" t="str">
        <f aca="false">IFERROR(L116/M116,"")</f>
        <v/>
      </c>
      <c r="O116" s="14" t="str">
        <f aca="false">IF(N116="","",IF(N116&gt;=200,"Yes","No"))</f>
        <v/>
      </c>
      <c r="P116" s="9"/>
      <c r="Q116" s="9"/>
      <c r="R116" s="9"/>
      <c r="S116" s="9"/>
      <c r="T116" s="9"/>
    </row>
    <row r="117" customFormat="false" ht="15" hidden="false" customHeight="false" outlineLevel="0" collapsed="false">
      <c r="A117" s="9"/>
      <c r="B117" s="9"/>
      <c r="C117" s="9"/>
      <c r="D117" s="9"/>
      <c r="E117" s="9"/>
      <c r="F117" s="9"/>
      <c r="G117" s="9"/>
      <c r="H117" s="9"/>
      <c r="I117" s="9"/>
      <c r="J117" s="9"/>
      <c r="K117" s="9"/>
      <c r="L117" s="9"/>
      <c r="M117" s="9"/>
      <c r="N117" s="14" t="str">
        <f aca="false">IFERROR(L117/M117,"")</f>
        <v/>
      </c>
      <c r="O117" s="14" t="str">
        <f aca="false">IF(N117="","",IF(N117&gt;=200,"Yes","No"))</f>
        <v/>
      </c>
      <c r="P117" s="9"/>
      <c r="Q117" s="9"/>
      <c r="R117" s="9"/>
      <c r="S117" s="9"/>
      <c r="T117" s="9"/>
    </row>
    <row r="118" customFormat="false" ht="15" hidden="false" customHeight="false" outlineLevel="0" collapsed="false">
      <c r="A118" s="9"/>
      <c r="B118" s="9"/>
      <c r="C118" s="9"/>
      <c r="D118" s="9"/>
      <c r="E118" s="9"/>
      <c r="F118" s="9"/>
      <c r="G118" s="9"/>
      <c r="H118" s="9"/>
      <c r="I118" s="9"/>
      <c r="J118" s="9"/>
      <c r="K118" s="9"/>
      <c r="L118" s="9"/>
      <c r="M118" s="9"/>
      <c r="N118" s="14" t="str">
        <f aca="false">IFERROR(L118/M118,"")</f>
        <v/>
      </c>
      <c r="O118" s="14" t="str">
        <f aca="false">IF(N118="","",IF(N118&gt;=200,"Yes","No"))</f>
        <v/>
      </c>
      <c r="P118" s="9"/>
      <c r="Q118" s="9"/>
      <c r="R118" s="9"/>
      <c r="S118" s="9"/>
      <c r="T118" s="9"/>
    </row>
    <row r="119" customFormat="false" ht="15" hidden="false" customHeight="false" outlineLevel="0" collapsed="false">
      <c r="A119" s="9"/>
      <c r="B119" s="9"/>
      <c r="C119" s="9"/>
      <c r="D119" s="9"/>
      <c r="E119" s="9"/>
      <c r="F119" s="9"/>
      <c r="G119" s="9"/>
      <c r="H119" s="9"/>
      <c r="I119" s="9"/>
      <c r="J119" s="9"/>
      <c r="K119" s="9"/>
      <c r="L119" s="9"/>
      <c r="M119" s="9"/>
      <c r="N119" s="14" t="str">
        <f aca="false">IFERROR(L119/M119,"")</f>
        <v/>
      </c>
      <c r="O119" s="14" t="str">
        <f aca="false">IF(N119="","",IF(N119&gt;=200,"Yes","No"))</f>
        <v/>
      </c>
      <c r="P119" s="9"/>
      <c r="Q119" s="9"/>
      <c r="R119" s="9"/>
      <c r="S119" s="9"/>
      <c r="T119" s="9"/>
    </row>
    <row r="120" customFormat="false" ht="15" hidden="false" customHeight="false" outlineLevel="0" collapsed="false">
      <c r="A120" s="9"/>
      <c r="B120" s="9"/>
      <c r="C120" s="9"/>
      <c r="D120" s="9"/>
      <c r="E120" s="9"/>
      <c r="F120" s="9"/>
      <c r="G120" s="9"/>
      <c r="H120" s="9"/>
      <c r="I120" s="9"/>
      <c r="J120" s="9"/>
      <c r="K120" s="9"/>
      <c r="L120" s="9"/>
      <c r="M120" s="9"/>
      <c r="N120" s="14" t="str">
        <f aca="false">IFERROR(L120/M120,"")</f>
        <v/>
      </c>
      <c r="O120" s="14" t="str">
        <f aca="false">IF(N120="","",IF(N120&gt;=200,"Yes","No"))</f>
        <v/>
      </c>
      <c r="P120" s="9"/>
      <c r="Q120" s="9"/>
      <c r="R120" s="9"/>
      <c r="S120" s="9"/>
      <c r="T120" s="9"/>
    </row>
    <row r="121" customFormat="false" ht="15" hidden="false" customHeight="false" outlineLevel="0" collapsed="false">
      <c r="A121" s="9"/>
      <c r="B121" s="9"/>
      <c r="C121" s="9"/>
      <c r="D121" s="9"/>
      <c r="E121" s="9"/>
      <c r="F121" s="9"/>
      <c r="G121" s="9"/>
      <c r="H121" s="9"/>
      <c r="I121" s="9"/>
      <c r="J121" s="9"/>
      <c r="K121" s="9"/>
      <c r="L121" s="9"/>
      <c r="M121" s="9"/>
      <c r="N121" s="14" t="str">
        <f aca="false">IFERROR(L121/M121,"")</f>
        <v/>
      </c>
      <c r="O121" s="14" t="str">
        <f aca="false">IF(N121="","",IF(N121&gt;=200,"Yes","No"))</f>
        <v/>
      </c>
      <c r="P121" s="9"/>
      <c r="Q121" s="9"/>
      <c r="R121" s="9"/>
      <c r="S121" s="9"/>
      <c r="T121" s="9"/>
    </row>
    <row r="122" customFormat="false" ht="15" hidden="false" customHeight="false" outlineLevel="0" collapsed="false">
      <c r="A122" s="9"/>
      <c r="B122" s="9"/>
      <c r="C122" s="9"/>
      <c r="D122" s="9"/>
      <c r="E122" s="9"/>
      <c r="F122" s="9"/>
      <c r="G122" s="9"/>
      <c r="H122" s="9"/>
      <c r="I122" s="9"/>
      <c r="J122" s="9"/>
      <c r="K122" s="9"/>
      <c r="L122" s="9"/>
      <c r="M122" s="9"/>
      <c r="N122" s="14" t="str">
        <f aca="false">IFERROR(L122/M122,"")</f>
        <v/>
      </c>
      <c r="O122" s="14" t="str">
        <f aca="false">IF(N122="","",IF(N122&gt;=200,"Yes","No"))</f>
        <v/>
      </c>
      <c r="P122" s="9"/>
      <c r="Q122" s="9"/>
      <c r="R122" s="9"/>
      <c r="S122" s="9"/>
      <c r="T122" s="9"/>
    </row>
    <row r="123" customFormat="false" ht="15" hidden="false" customHeight="false" outlineLevel="0" collapsed="false">
      <c r="A123" s="9"/>
      <c r="B123" s="9"/>
      <c r="C123" s="9"/>
      <c r="D123" s="9"/>
      <c r="E123" s="9"/>
      <c r="F123" s="9"/>
      <c r="G123" s="9"/>
      <c r="H123" s="9"/>
      <c r="I123" s="9"/>
      <c r="J123" s="9"/>
      <c r="K123" s="9"/>
      <c r="L123" s="9"/>
      <c r="M123" s="9"/>
      <c r="N123" s="14" t="str">
        <f aca="false">IFERROR(L123/M123,"")</f>
        <v/>
      </c>
      <c r="O123" s="14" t="str">
        <f aca="false">IF(N123="","",IF(N123&gt;=200,"Yes","No"))</f>
        <v/>
      </c>
      <c r="P123" s="9"/>
      <c r="Q123" s="9"/>
      <c r="R123" s="9"/>
      <c r="S123" s="9"/>
      <c r="T123" s="9"/>
    </row>
    <row r="124" customFormat="false" ht="15" hidden="false" customHeight="false" outlineLevel="0" collapsed="false">
      <c r="A124" s="9"/>
      <c r="B124" s="9"/>
      <c r="C124" s="9"/>
      <c r="D124" s="9"/>
      <c r="E124" s="9"/>
      <c r="F124" s="9"/>
      <c r="G124" s="9"/>
      <c r="H124" s="9"/>
      <c r="I124" s="9"/>
      <c r="J124" s="9"/>
      <c r="K124" s="9"/>
      <c r="L124" s="9"/>
      <c r="M124" s="9"/>
      <c r="N124" s="14" t="str">
        <f aca="false">IFERROR(L124/M124,"")</f>
        <v/>
      </c>
      <c r="O124" s="14" t="str">
        <f aca="false">IF(N124="","",IF(N124&gt;=200,"Yes","No"))</f>
        <v/>
      </c>
      <c r="P124" s="9"/>
      <c r="Q124" s="9"/>
      <c r="R124" s="9"/>
      <c r="S124" s="9"/>
      <c r="T124" s="9"/>
    </row>
    <row r="125" customFormat="false" ht="15" hidden="false" customHeight="false" outlineLevel="0" collapsed="false">
      <c r="A125" s="9"/>
      <c r="B125" s="9"/>
      <c r="C125" s="9"/>
      <c r="D125" s="9"/>
      <c r="E125" s="9"/>
      <c r="F125" s="9"/>
      <c r="G125" s="9"/>
      <c r="H125" s="9"/>
      <c r="I125" s="9"/>
      <c r="J125" s="9"/>
      <c r="K125" s="9"/>
      <c r="L125" s="9"/>
      <c r="M125" s="9"/>
      <c r="N125" s="14" t="str">
        <f aca="false">IFERROR(L125/M125,"")</f>
        <v/>
      </c>
      <c r="O125" s="14" t="str">
        <f aca="false">IF(N125="","",IF(N125&gt;=200,"Yes","No"))</f>
        <v/>
      </c>
      <c r="P125" s="9"/>
      <c r="Q125" s="9"/>
      <c r="R125" s="9"/>
      <c r="S125" s="9"/>
      <c r="T125" s="9"/>
    </row>
    <row r="126" customFormat="false" ht="15" hidden="false" customHeight="false" outlineLevel="0" collapsed="false">
      <c r="A126" s="9"/>
      <c r="B126" s="9"/>
      <c r="C126" s="9"/>
      <c r="D126" s="9"/>
      <c r="E126" s="9"/>
      <c r="F126" s="9"/>
      <c r="G126" s="9"/>
      <c r="H126" s="9"/>
      <c r="I126" s="9"/>
      <c r="J126" s="9"/>
      <c r="K126" s="9"/>
      <c r="L126" s="9"/>
      <c r="M126" s="9"/>
      <c r="N126" s="14" t="str">
        <f aca="false">IFERROR(L126/M126,"")</f>
        <v/>
      </c>
      <c r="O126" s="14" t="str">
        <f aca="false">IF(N126="","",IF(N126&gt;=200,"Yes","No"))</f>
        <v/>
      </c>
      <c r="P126" s="9"/>
      <c r="Q126" s="9"/>
      <c r="R126" s="9"/>
      <c r="S126" s="9"/>
      <c r="T126" s="9"/>
    </row>
    <row r="127" customFormat="false" ht="15" hidden="false" customHeight="false" outlineLevel="0" collapsed="false">
      <c r="A127" s="9"/>
      <c r="B127" s="9"/>
      <c r="C127" s="9"/>
      <c r="D127" s="9"/>
      <c r="E127" s="9"/>
      <c r="F127" s="9"/>
      <c r="G127" s="9"/>
      <c r="H127" s="9"/>
      <c r="I127" s="9"/>
      <c r="J127" s="9"/>
      <c r="K127" s="9"/>
      <c r="L127" s="9"/>
      <c r="M127" s="9"/>
      <c r="N127" s="14" t="str">
        <f aca="false">IFERROR(L127/M127,"")</f>
        <v/>
      </c>
      <c r="O127" s="14" t="str">
        <f aca="false">IF(N127="","",IF(N127&gt;=200,"Yes","No"))</f>
        <v/>
      </c>
      <c r="P127" s="9"/>
      <c r="Q127" s="9"/>
      <c r="R127" s="9"/>
      <c r="S127" s="9"/>
      <c r="T127" s="9"/>
    </row>
    <row r="128" customFormat="false" ht="15" hidden="false" customHeight="false" outlineLevel="0" collapsed="false">
      <c r="A128" s="9"/>
      <c r="B128" s="9"/>
      <c r="C128" s="9"/>
      <c r="D128" s="9"/>
      <c r="E128" s="9"/>
      <c r="F128" s="9"/>
      <c r="G128" s="9"/>
      <c r="H128" s="9"/>
      <c r="I128" s="9"/>
      <c r="J128" s="9"/>
      <c r="K128" s="9"/>
      <c r="L128" s="9"/>
      <c r="M128" s="9"/>
      <c r="N128" s="14" t="str">
        <f aca="false">IFERROR(L128/M128,"")</f>
        <v/>
      </c>
      <c r="O128" s="14" t="str">
        <f aca="false">IF(N128="","",IF(N128&gt;=200,"Yes","No"))</f>
        <v/>
      </c>
      <c r="P128" s="9"/>
      <c r="Q128" s="9"/>
      <c r="R128" s="9"/>
      <c r="S128" s="9"/>
      <c r="T128" s="9"/>
    </row>
    <row r="129" customFormat="false" ht="15" hidden="false" customHeight="false" outlineLevel="0" collapsed="false">
      <c r="A129" s="9"/>
      <c r="B129" s="9"/>
      <c r="C129" s="9"/>
      <c r="D129" s="9"/>
      <c r="E129" s="9"/>
      <c r="F129" s="9"/>
      <c r="G129" s="9"/>
      <c r="H129" s="9"/>
      <c r="I129" s="9"/>
      <c r="J129" s="9"/>
      <c r="K129" s="9"/>
      <c r="L129" s="9"/>
      <c r="M129" s="9"/>
      <c r="N129" s="14" t="str">
        <f aca="false">IFERROR(L129/M129,"")</f>
        <v/>
      </c>
      <c r="O129" s="14" t="str">
        <f aca="false">IF(N129="","",IF(N129&gt;=200,"Yes","No"))</f>
        <v/>
      </c>
      <c r="P129" s="9"/>
      <c r="Q129" s="9"/>
      <c r="R129" s="9"/>
      <c r="S129" s="9"/>
      <c r="T129" s="9"/>
    </row>
    <row r="130" customFormat="false" ht="15" hidden="false" customHeight="false" outlineLevel="0" collapsed="false">
      <c r="A130" s="9"/>
      <c r="B130" s="9"/>
      <c r="C130" s="9"/>
      <c r="D130" s="9"/>
      <c r="E130" s="9"/>
      <c r="F130" s="9"/>
      <c r="G130" s="9"/>
      <c r="H130" s="9"/>
      <c r="I130" s="9"/>
      <c r="J130" s="9"/>
      <c r="K130" s="9"/>
      <c r="L130" s="9"/>
      <c r="M130" s="9"/>
      <c r="N130" s="14" t="str">
        <f aca="false">IFERROR(L130/M130,"")</f>
        <v/>
      </c>
      <c r="O130" s="14" t="str">
        <f aca="false">IF(N130="","",IF(N130&gt;=200,"Yes","No"))</f>
        <v/>
      </c>
      <c r="P130" s="9"/>
      <c r="Q130" s="9"/>
      <c r="R130" s="9"/>
      <c r="S130" s="9"/>
      <c r="T130" s="9"/>
    </row>
    <row r="131" customFormat="false" ht="15" hidden="false" customHeight="false" outlineLevel="0" collapsed="false">
      <c r="A131" s="9"/>
      <c r="B131" s="9"/>
      <c r="C131" s="9"/>
      <c r="D131" s="9"/>
      <c r="E131" s="9"/>
      <c r="F131" s="9"/>
      <c r="G131" s="9"/>
      <c r="H131" s="9"/>
      <c r="I131" s="9"/>
      <c r="J131" s="9"/>
      <c r="K131" s="9"/>
      <c r="L131" s="9"/>
      <c r="M131" s="9"/>
      <c r="N131" s="14" t="str">
        <f aca="false">IFERROR(L131/M131,"")</f>
        <v/>
      </c>
      <c r="O131" s="14" t="str">
        <f aca="false">IF(N131="","",IF(N131&gt;=200,"Yes","No"))</f>
        <v/>
      </c>
      <c r="P131" s="9"/>
      <c r="Q131" s="9"/>
      <c r="R131" s="9"/>
      <c r="S131" s="9"/>
      <c r="T131" s="9"/>
    </row>
    <row r="132" customFormat="false" ht="15" hidden="false" customHeight="false" outlineLevel="0" collapsed="false">
      <c r="A132" s="9"/>
      <c r="B132" s="9"/>
      <c r="C132" s="9"/>
      <c r="D132" s="9"/>
      <c r="E132" s="9"/>
      <c r="F132" s="9"/>
      <c r="G132" s="9"/>
      <c r="H132" s="9"/>
      <c r="I132" s="9"/>
      <c r="J132" s="9"/>
      <c r="K132" s="9"/>
      <c r="L132" s="9"/>
      <c r="M132" s="9"/>
      <c r="N132" s="14" t="str">
        <f aca="false">IFERROR(L132/M132,"")</f>
        <v/>
      </c>
      <c r="O132" s="14" t="str">
        <f aca="false">IF(N132="","",IF(N132&gt;=200,"Yes","No"))</f>
        <v/>
      </c>
      <c r="P132" s="9"/>
      <c r="Q132" s="9"/>
      <c r="R132" s="9"/>
      <c r="S132" s="9"/>
      <c r="T132" s="9"/>
    </row>
    <row r="133" customFormat="false" ht="15" hidden="false" customHeight="false" outlineLevel="0" collapsed="false">
      <c r="A133" s="9"/>
      <c r="B133" s="9"/>
      <c r="C133" s="9"/>
      <c r="D133" s="9"/>
      <c r="E133" s="9"/>
      <c r="F133" s="9"/>
      <c r="G133" s="9"/>
      <c r="H133" s="9"/>
      <c r="I133" s="9"/>
      <c r="J133" s="9"/>
      <c r="K133" s="9"/>
      <c r="L133" s="9"/>
      <c r="M133" s="9"/>
      <c r="N133" s="14" t="str">
        <f aca="false">IFERROR(L133/M133,"")</f>
        <v/>
      </c>
      <c r="O133" s="14" t="str">
        <f aca="false">IF(N133="","",IF(N133&gt;=200,"Yes","No"))</f>
        <v/>
      </c>
      <c r="P133" s="9"/>
      <c r="Q133" s="9"/>
      <c r="R133" s="9"/>
      <c r="S133" s="9"/>
      <c r="T133" s="9"/>
    </row>
    <row r="134" customFormat="false" ht="15" hidden="false" customHeight="false" outlineLevel="0" collapsed="false">
      <c r="A134" s="9"/>
      <c r="B134" s="9"/>
      <c r="C134" s="9"/>
      <c r="D134" s="9"/>
      <c r="E134" s="9"/>
      <c r="F134" s="9"/>
      <c r="G134" s="9"/>
      <c r="H134" s="9"/>
      <c r="I134" s="9"/>
      <c r="J134" s="9"/>
      <c r="K134" s="9"/>
      <c r="L134" s="9"/>
      <c r="M134" s="9"/>
      <c r="N134" s="14" t="str">
        <f aca="false">IFERROR(L134/M134,"")</f>
        <v/>
      </c>
      <c r="O134" s="14" t="str">
        <f aca="false">IF(N134="","",IF(N134&gt;=200,"Yes","No"))</f>
        <v/>
      </c>
      <c r="P134" s="9"/>
      <c r="Q134" s="9"/>
      <c r="R134" s="9"/>
      <c r="S134" s="9"/>
      <c r="T134" s="9"/>
    </row>
    <row r="135" customFormat="false" ht="15" hidden="false" customHeight="false" outlineLevel="0" collapsed="false">
      <c r="A135" s="9"/>
      <c r="B135" s="9"/>
      <c r="C135" s="9"/>
      <c r="D135" s="9"/>
      <c r="E135" s="9"/>
      <c r="F135" s="9"/>
      <c r="G135" s="9"/>
      <c r="H135" s="9"/>
      <c r="I135" s="9"/>
      <c r="J135" s="9"/>
      <c r="K135" s="9"/>
      <c r="L135" s="9"/>
      <c r="M135" s="9"/>
      <c r="N135" s="14" t="str">
        <f aca="false">IFERROR(L135/M135,"")</f>
        <v/>
      </c>
      <c r="O135" s="14" t="str">
        <f aca="false">IF(N135="","",IF(N135&gt;=200,"Yes","No"))</f>
        <v/>
      </c>
      <c r="P135" s="9"/>
      <c r="Q135" s="9"/>
      <c r="R135" s="9"/>
      <c r="S135" s="9"/>
      <c r="T135" s="9"/>
    </row>
    <row r="136" customFormat="false" ht="15" hidden="false" customHeight="false" outlineLevel="0" collapsed="false">
      <c r="A136" s="9"/>
      <c r="B136" s="9"/>
      <c r="C136" s="9"/>
      <c r="D136" s="9"/>
      <c r="E136" s="9"/>
      <c r="F136" s="9"/>
      <c r="G136" s="9"/>
      <c r="H136" s="9"/>
      <c r="I136" s="9"/>
      <c r="J136" s="9"/>
      <c r="K136" s="9"/>
      <c r="L136" s="9"/>
      <c r="M136" s="9"/>
      <c r="N136" s="14" t="str">
        <f aca="false">IFERROR(L136/M136,"")</f>
        <v/>
      </c>
      <c r="O136" s="14" t="str">
        <f aca="false">IF(N136="","",IF(N136&gt;=200,"Yes","No"))</f>
        <v/>
      </c>
      <c r="P136" s="9"/>
      <c r="Q136" s="9"/>
      <c r="R136" s="9"/>
      <c r="S136" s="9"/>
      <c r="T136" s="9"/>
    </row>
    <row r="137" customFormat="false" ht="15" hidden="false" customHeight="false" outlineLevel="0" collapsed="false">
      <c r="A137" s="9"/>
      <c r="B137" s="9"/>
      <c r="C137" s="9"/>
      <c r="D137" s="9"/>
      <c r="E137" s="9"/>
      <c r="F137" s="9"/>
      <c r="G137" s="9"/>
      <c r="H137" s="9"/>
      <c r="I137" s="9"/>
      <c r="J137" s="9"/>
      <c r="K137" s="9"/>
      <c r="L137" s="9"/>
      <c r="M137" s="9"/>
      <c r="N137" s="14" t="str">
        <f aca="false">IFERROR(L137/M137,"")</f>
        <v/>
      </c>
      <c r="O137" s="14" t="str">
        <f aca="false">IF(N137="","",IF(N137&gt;=200,"Yes","No"))</f>
        <v/>
      </c>
      <c r="P137" s="9"/>
      <c r="Q137" s="9"/>
      <c r="R137" s="9"/>
      <c r="S137" s="9"/>
      <c r="T137" s="9"/>
    </row>
    <row r="138" customFormat="false" ht="15" hidden="false" customHeight="false" outlineLevel="0" collapsed="false">
      <c r="A138" s="9"/>
      <c r="B138" s="9"/>
      <c r="C138" s="9"/>
      <c r="D138" s="9"/>
      <c r="E138" s="9"/>
      <c r="F138" s="9"/>
      <c r="G138" s="9"/>
      <c r="H138" s="9"/>
      <c r="I138" s="9"/>
      <c r="J138" s="9"/>
      <c r="K138" s="9"/>
      <c r="L138" s="9"/>
      <c r="M138" s="9"/>
      <c r="N138" s="14" t="str">
        <f aca="false">IFERROR(L138/M138,"")</f>
        <v/>
      </c>
      <c r="O138" s="14" t="str">
        <f aca="false">IF(N138="","",IF(N138&gt;=200,"Yes","No"))</f>
        <v/>
      </c>
      <c r="P138" s="9"/>
      <c r="Q138" s="9"/>
      <c r="R138" s="9"/>
      <c r="S138" s="9"/>
      <c r="T138" s="9"/>
    </row>
    <row r="139" customFormat="false" ht="15" hidden="false" customHeight="false" outlineLevel="0" collapsed="false">
      <c r="A139" s="9"/>
      <c r="B139" s="9"/>
      <c r="C139" s="9"/>
      <c r="D139" s="9"/>
      <c r="E139" s="9"/>
      <c r="F139" s="9"/>
      <c r="G139" s="9"/>
      <c r="H139" s="9"/>
      <c r="I139" s="9"/>
      <c r="J139" s="9"/>
      <c r="K139" s="9"/>
      <c r="L139" s="9"/>
      <c r="M139" s="9"/>
      <c r="N139" s="14" t="str">
        <f aca="false">IFERROR(L139/M139,"")</f>
        <v/>
      </c>
      <c r="O139" s="14" t="str">
        <f aca="false">IF(N139="","",IF(N139&gt;=200,"Yes","No"))</f>
        <v/>
      </c>
      <c r="P139" s="9"/>
      <c r="Q139" s="9"/>
      <c r="R139" s="9"/>
      <c r="S139" s="9"/>
      <c r="T139" s="9"/>
    </row>
    <row r="140" customFormat="false" ht="15" hidden="false" customHeight="false" outlineLevel="0" collapsed="false">
      <c r="A140" s="9"/>
      <c r="B140" s="9"/>
      <c r="C140" s="9"/>
      <c r="D140" s="9"/>
      <c r="E140" s="9"/>
      <c r="F140" s="9"/>
      <c r="G140" s="9"/>
      <c r="H140" s="9"/>
      <c r="I140" s="9"/>
      <c r="J140" s="9"/>
      <c r="K140" s="9"/>
      <c r="L140" s="9"/>
      <c r="M140" s="9"/>
      <c r="N140" s="14" t="str">
        <f aca="false">IFERROR(L140/M140,"")</f>
        <v/>
      </c>
      <c r="O140" s="14" t="str">
        <f aca="false">IF(N140="","",IF(N140&gt;=200,"Yes","No"))</f>
        <v/>
      </c>
      <c r="P140" s="9"/>
      <c r="Q140" s="9"/>
      <c r="R140" s="9"/>
      <c r="S140" s="9"/>
      <c r="T140" s="9"/>
    </row>
    <row r="141" customFormat="false" ht="15" hidden="false" customHeight="false" outlineLevel="0" collapsed="false">
      <c r="A141" s="9"/>
      <c r="B141" s="9"/>
      <c r="C141" s="9"/>
      <c r="D141" s="9"/>
      <c r="E141" s="9"/>
      <c r="F141" s="9"/>
      <c r="G141" s="9"/>
      <c r="H141" s="9"/>
      <c r="I141" s="9"/>
      <c r="J141" s="9"/>
      <c r="K141" s="9"/>
      <c r="L141" s="9"/>
      <c r="M141" s="9"/>
      <c r="N141" s="14" t="str">
        <f aca="false">IFERROR(L141/M141,"")</f>
        <v/>
      </c>
      <c r="O141" s="14" t="str">
        <f aca="false">IF(N141="","",IF(N141&gt;=200,"Yes","No"))</f>
        <v/>
      </c>
      <c r="P141" s="9"/>
      <c r="Q141" s="9"/>
      <c r="R141" s="9"/>
      <c r="S141" s="9"/>
      <c r="T141" s="9"/>
    </row>
    <row r="142" customFormat="false" ht="15" hidden="false" customHeight="false" outlineLevel="0" collapsed="false">
      <c r="A142" s="9"/>
      <c r="B142" s="9"/>
      <c r="C142" s="9"/>
      <c r="D142" s="9"/>
      <c r="E142" s="9"/>
      <c r="F142" s="9"/>
      <c r="G142" s="9"/>
      <c r="H142" s="9"/>
      <c r="I142" s="9"/>
      <c r="J142" s="9"/>
      <c r="K142" s="9"/>
      <c r="L142" s="9"/>
      <c r="M142" s="9"/>
      <c r="N142" s="14" t="str">
        <f aca="false">IFERROR(L142/M142,"")</f>
        <v/>
      </c>
      <c r="O142" s="14" t="str">
        <f aca="false">IF(N142="","",IF(N142&gt;=200,"Yes","No"))</f>
        <v/>
      </c>
      <c r="P142" s="9"/>
      <c r="Q142" s="9"/>
      <c r="R142" s="9"/>
      <c r="S142" s="9"/>
      <c r="T142" s="9"/>
    </row>
    <row r="143" customFormat="false" ht="15" hidden="false" customHeight="false" outlineLevel="0" collapsed="false">
      <c r="A143" s="9"/>
      <c r="B143" s="9"/>
      <c r="C143" s="9"/>
      <c r="D143" s="9"/>
      <c r="E143" s="9"/>
      <c r="F143" s="9"/>
      <c r="G143" s="9"/>
      <c r="H143" s="9"/>
      <c r="I143" s="9"/>
      <c r="J143" s="9"/>
      <c r="K143" s="9"/>
      <c r="L143" s="9"/>
      <c r="M143" s="9"/>
      <c r="N143" s="14" t="str">
        <f aca="false">IFERROR(L143/M143,"")</f>
        <v/>
      </c>
      <c r="O143" s="14" t="str">
        <f aca="false">IF(N143="","",IF(N143&gt;=200,"Yes","No"))</f>
        <v/>
      </c>
      <c r="P143" s="9"/>
      <c r="Q143" s="9"/>
      <c r="R143" s="9"/>
      <c r="S143" s="9"/>
      <c r="T143" s="9"/>
    </row>
    <row r="144" customFormat="false" ht="15" hidden="false" customHeight="false" outlineLevel="0" collapsed="false">
      <c r="A144" s="9"/>
      <c r="B144" s="9"/>
      <c r="C144" s="9"/>
      <c r="D144" s="9"/>
      <c r="E144" s="9"/>
      <c r="F144" s="9"/>
      <c r="G144" s="9"/>
      <c r="H144" s="9"/>
      <c r="I144" s="9"/>
      <c r="J144" s="9"/>
      <c r="K144" s="9"/>
      <c r="L144" s="9"/>
      <c r="M144" s="9"/>
      <c r="N144" s="14" t="str">
        <f aca="false">IFERROR(L144/M144,"")</f>
        <v/>
      </c>
      <c r="O144" s="14" t="str">
        <f aca="false">IF(N144="","",IF(N144&gt;=200,"Yes","No"))</f>
        <v/>
      </c>
      <c r="P144" s="9"/>
      <c r="Q144" s="9"/>
      <c r="R144" s="9"/>
      <c r="S144" s="9"/>
      <c r="T144" s="9"/>
    </row>
    <row r="145" customFormat="false" ht="15" hidden="false" customHeight="false" outlineLevel="0" collapsed="false">
      <c r="A145" s="9"/>
      <c r="B145" s="9"/>
      <c r="C145" s="9"/>
      <c r="D145" s="9"/>
      <c r="E145" s="9"/>
      <c r="F145" s="9"/>
      <c r="G145" s="9"/>
      <c r="H145" s="9"/>
      <c r="I145" s="9"/>
      <c r="J145" s="9"/>
      <c r="K145" s="9"/>
      <c r="L145" s="9"/>
      <c r="M145" s="9"/>
      <c r="N145" s="14" t="str">
        <f aca="false">IFERROR(L145/M145,"")</f>
        <v/>
      </c>
      <c r="O145" s="14" t="str">
        <f aca="false">IF(N145="","",IF(N145&gt;=200,"Yes","No"))</f>
        <v/>
      </c>
      <c r="P145" s="9"/>
      <c r="Q145" s="9"/>
      <c r="R145" s="9"/>
      <c r="S145" s="9"/>
      <c r="T145" s="9"/>
    </row>
    <row r="146" customFormat="false" ht="15" hidden="false" customHeight="false" outlineLevel="0" collapsed="false">
      <c r="A146" s="9"/>
      <c r="B146" s="9"/>
      <c r="C146" s="9"/>
      <c r="D146" s="9"/>
      <c r="E146" s="9"/>
      <c r="F146" s="9"/>
      <c r="G146" s="9"/>
      <c r="H146" s="9"/>
      <c r="I146" s="9"/>
      <c r="J146" s="9"/>
      <c r="K146" s="9"/>
      <c r="L146" s="9"/>
      <c r="M146" s="9"/>
      <c r="N146" s="14" t="str">
        <f aca="false">IFERROR(L146/M146,"")</f>
        <v/>
      </c>
      <c r="O146" s="14" t="str">
        <f aca="false">IF(N146="","",IF(N146&gt;=200,"Yes","No"))</f>
        <v/>
      </c>
      <c r="P146" s="9"/>
      <c r="Q146" s="9"/>
      <c r="R146" s="9"/>
      <c r="S146" s="9"/>
      <c r="T146" s="9"/>
    </row>
    <row r="147" customFormat="false" ht="15" hidden="false" customHeight="false" outlineLevel="0" collapsed="false">
      <c r="A147" s="9"/>
      <c r="B147" s="9"/>
      <c r="C147" s="9"/>
      <c r="D147" s="9"/>
      <c r="E147" s="9"/>
      <c r="F147" s="9"/>
      <c r="G147" s="9"/>
      <c r="H147" s="9"/>
      <c r="I147" s="9"/>
      <c r="J147" s="9"/>
      <c r="K147" s="9"/>
      <c r="L147" s="9"/>
      <c r="M147" s="9"/>
      <c r="N147" s="14" t="str">
        <f aca="false">IFERROR(L147/M147,"")</f>
        <v/>
      </c>
      <c r="O147" s="14" t="str">
        <f aca="false">IF(N147="","",IF(N147&gt;=200,"Yes","No"))</f>
        <v/>
      </c>
      <c r="P147" s="9"/>
      <c r="Q147" s="9"/>
      <c r="R147" s="9"/>
      <c r="S147" s="9"/>
      <c r="T147" s="9"/>
    </row>
    <row r="148" customFormat="false" ht="15" hidden="false" customHeight="false" outlineLevel="0" collapsed="false">
      <c r="A148" s="9"/>
      <c r="B148" s="9"/>
      <c r="C148" s="9"/>
      <c r="D148" s="9"/>
      <c r="E148" s="9"/>
      <c r="F148" s="9"/>
      <c r="G148" s="9"/>
      <c r="H148" s="9"/>
      <c r="I148" s="9"/>
      <c r="J148" s="9"/>
      <c r="K148" s="9"/>
      <c r="L148" s="9"/>
      <c r="M148" s="9"/>
      <c r="N148" s="14" t="str">
        <f aca="false">IFERROR(L148/M148,"")</f>
        <v/>
      </c>
      <c r="O148" s="14" t="str">
        <f aca="false">IF(N148="","",IF(N148&gt;=200,"Yes","No"))</f>
        <v/>
      </c>
      <c r="P148" s="9"/>
      <c r="Q148" s="9"/>
      <c r="R148" s="9"/>
      <c r="S148" s="9"/>
      <c r="T148" s="9"/>
    </row>
    <row r="149" customFormat="false" ht="15" hidden="false" customHeight="false" outlineLevel="0" collapsed="false">
      <c r="A149" s="9"/>
      <c r="B149" s="9"/>
      <c r="C149" s="9"/>
      <c r="D149" s="9"/>
      <c r="E149" s="9"/>
      <c r="F149" s="9"/>
      <c r="G149" s="9"/>
      <c r="H149" s="9"/>
      <c r="I149" s="9"/>
      <c r="J149" s="9"/>
      <c r="K149" s="9"/>
      <c r="L149" s="9"/>
      <c r="M149" s="9"/>
      <c r="N149" s="14" t="str">
        <f aca="false">IFERROR(L149/M149,"")</f>
        <v/>
      </c>
      <c r="O149" s="14" t="str">
        <f aca="false">IF(N149="","",IF(N149&gt;=200,"Yes","No"))</f>
        <v/>
      </c>
      <c r="P149" s="9"/>
      <c r="Q149" s="9"/>
      <c r="R149" s="9"/>
      <c r="S149" s="9"/>
      <c r="T149" s="9"/>
    </row>
    <row r="150" customFormat="false" ht="15" hidden="false" customHeight="false" outlineLevel="0" collapsed="false">
      <c r="A150" s="9"/>
      <c r="B150" s="9"/>
      <c r="C150" s="9"/>
      <c r="D150" s="9"/>
      <c r="E150" s="9"/>
      <c r="F150" s="9"/>
      <c r="G150" s="9"/>
      <c r="H150" s="9"/>
      <c r="I150" s="9"/>
      <c r="J150" s="9"/>
      <c r="K150" s="9"/>
      <c r="L150" s="9"/>
      <c r="M150" s="9"/>
      <c r="N150" s="14" t="str">
        <f aca="false">IFERROR(L150/M150,"")</f>
        <v/>
      </c>
      <c r="O150" s="14" t="str">
        <f aca="false">IF(N150="","",IF(N150&gt;=200,"Yes","No"))</f>
        <v/>
      </c>
      <c r="P150" s="9"/>
      <c r="Q150" s="9"/>
      <c r="R150" s="9"/>
      <c r="S150" s="9"/>
      <c r="T150" s="9"/>
    </row>
    <row r="151" customFormat="false" ht="15" hidden="false" customHeight="false" outlineLevel="0" collapsed="false">
      <c r="A151" s="9"/>
      <c r="B151" s="9"/>
      <c r="C151" s="9"/>
      <c r="D151" s="9"/>
      <c r="E151" s="9"/>
      <c r="F151" s="9"/>
      <c r="G151" s="9"/>
      <c r="H151" s="9"/>
      <c r="I151" s="9"/>
      <c r="J151" s="9"/>
      <c r="K151" s="9"/>
      <c r="L151" s="9"/>
      <c r="M151" s="9"/>
      <c r="N151" s="14" t="str">
        <f aca="false">IFERROR(L151/M151,"")</f>
        <v/>
      </c>
      <c r="O151" s="14" t="str">
        <f aca="false">IF(N151="","",IF(N151&gt;=200,"Yes","No"))</f>
        <v/>
      </c>
      <c r="P151" s="9"/>
      <c r="Q151" s="9"/>
      <c r="R151" s="9"/>
      <c r="S151" s="9"/>
      <c r="T151" s="9"/>
    </row>
    <row r="152" customFormat="false" ht="15" hidden="false" customHeight="false" outlineLevel="0" collapsed="false">
      <c r="A152" s="9"/>
      <c r="B152" s="9"/>
      <c r="C152" s="9"/>
      <c r="D152" s="9"/>
      <c r="E152" s="9"/>
      <c r="F152" s="9"/>
      <c r="G152" s="9"/>
      <c r="H152" s="9"/>
      <c r="I152" s="9"/>
      <c r="J152" s="9"/>
      <c r="K152" s="9"/>
      <c r="L152" s="9"/>
      <c r="M152" s="9"/>
      <c r="N152" s="14" t="str">
        <f aca="false">IFERROR(L152/M152,"")</f>
        <v/>
      </c>
      <c r="O152" s="14" t="str">
        <f aca="false">IF(N152="","",IF(N152&gt;=200,"Yes","No"))</f>
        <v/>
      </c>
      <c r="P152" s="9"/>
      <c r="Q152" s="9"/>
      <c r="R152" s="9"/>
      <c r="S152" s="9"/>
      <c r="T152" s="9"/>
    </row>
    <row r="153" customFormat="false" ht="15" hidden="false" customHeight="false" outlineLevel="0" collapsed="false">
      <c r="A153" s="9"/>
      <c r="B153" s="9"/>
      <c r="C153" s="9"/>
      <c r="D153" s="9"/>
      <c r="E153" s="9"/>
      <c r="F153" s="9"/>
      <c r="G153" s="9"/>
      <c r="H153" s="9"/>
      <c r="I153" s="9"/>
      <c r="J153" s="9"/>
      <c r="K153" s="9"/>
      <c r="L153" s="9"/>
      <c r="M153" s="9"/>
      <c r="N153" s="14" t="str">
        <f aca="false">IFERROR(L153/M153,"")</f>
        <v/>
      </c>
      <c r="O153" s="14" t="str">
        <f aca="false">IF(N153="","",IF(N153&gt;=200,"Yes","No"))</f>
        <v/>
      </c>
      <c r="P153" s="9"/>
      <c r="Q153" s="9"/>
      <c r="R153" s="9"/>
      <c r="S153" s="9"/>
      <c r="T153" s="9"/>
    </row>
    <row r="154" customFormat="false" ht="15" hidden="false" customHeight="false" outlineLevel="0" collapsed="false">
      <c r="A154" s="9"/>
      <c r="B154" s="9"/>
      <c r="C154" s="9"/>
      <c r="D154" s="9"/>
      <c r="E154" s="9"/>
      <c r="F154" s="9"/>
      <c r="G154" s="9"/>
      <c r="H154" s="9"/>
      <c r="I154" s="9"/>
      <c r="J154" s="9"/>
      <c r="K154" s="9"/>
      <c r="L154" s="9"/>
      <c r="M154" s="9"/>
      <c r="N154" s="14" t="str">
        <f aca="false">IFERROR(L154/M154,"")</f>
        <v/>
      </c>
      <c r="O154" s="14" t="str">
        <f aca="false">IF(N154="","",IF(N154&gt;=200,"Yes","No"))</f>
        <v/>
      </c>
      <c r="P154" s="9"/>
      <c r="Q154" s="9"/>
      <c r="R154" s="9"/>
      <c r="S154" s="9"/>
      <c r="T154" s="9"/>
    </row>
    <row r="155" customFormat="false" ht="15" hidden="false" customHeight="false" outlineLevel="0" collapsed="false">
      <c r="A155" s="9"/>
      <c r="B155" s="9"/>
      <c r="C155" s="9"/>
      <c r="D155" s="9"/>
      <c r="E155" s="9"/>
      <c r="F155" s="9"/>
      <c r="G155" s="9"/>
      <c r="H155" s="9"/>
      <c r="I155" s="9"/>
      <c r="J155" s="9"/>
      <c r="K155" s="9"/>
      <c r="L155" s="9"/>
      <c r="M155" s="9"/>
      <c r="N155" s="14" t="str">
        <f aca="false">IFERROR(L155/M155,"")</f>
        <v/>
      </c>
      <c r="O155" s="14" t="str">
        <f aca="false">IF(N155="","",IF(N155&gt;=200,"Yes","No"))</f>
        <v/>
      </c>
      <c r="P155" s="9"/>
      <c r="Q155" s="9"/>
      <c r="R155" s="9"/>
      <c r="S155" s="9"/>
      <c r="T155" s="9"/>
    </row>
    <row r="156" customFormat="false" ht="15" hidden="false" customHeight="false" outlineLevel="0" collapsed="false">
      <c r="A156" s="9"/>
      <c r="B156" s="9"/>
      <c r="C156" s="9"/>
      <c r="D156" s="9"/>
      <c r="E156" s="9"/>
      <c r="F156" s="9"/>
      <c r="G156" s="9"/>
      <c r="H156" s="9"/>
      <c r="I156" s="9"/>
      <c r="J156" s="9"/>
      <c r="K156" s="9"/>
      <c r="L156" s="9"/>
      <c r="M156" s="9"/>
      <c r="N156" s="14" t="str">
        <f aca="false">IFERROR(L156/M156,"")</f>
        <v/>
      </c>
      <c r="O156" s="14" t="str">
        <f aca="false">IF(N156="","",IF(N156&gt;=200,"Yes","No"))</f>
        <v/>
      </c>
      <c r="P156" s="9"/>
      <c r="Q156" s="9"/>
      <c r="R156" s="9"/>
      <c r="S156" s="9"/>
      <c r="T156" s="9"/>
    </row>
    <row r="157" customFormat="false" ht="15" hidden="false" customHeight="false" outlineLevel="0" collapsed="false">
      <c r="A157" s="9"/>
      <c r="B157" s="9"/>
      <c r="C157" s="9"/>
      <c r="D157" s="9"/>
      <c r="E157" s="9"/>
      <c r="F157" s="9"/>
      <c r="G157" s="9"/>
      <c r="H157" s="9"/>
      <c r="I157" s="9"/>
      <c r="J157" s="9"/>
      <c r="K157" s="9"/>
      <c r="L157" s="9"/>
      <c r="M157" s="9"/>
      <c r="N157" s="14" t="str">
        <f aca="false">IFERROR(L157/M157,"")</f>
        <v/>
      </c>
      <c r="O157" s="14" t="str">
        <f aca="false">IF(N157="","",IF(N157&gt;=200,"Yes","No"))</f>
        <v/>
      </c>
      <c r="P157" s="9"/>
      <c r="Q157" s="9"/>
      <c r="R157" s="9"/>
      <c r="S157" s="9"/>
      <c r="T157" s="9"/>
    </row>
    <row r="158" customFormat="false" ht="15" hidden="false" customHeight="false" outlineLevel="0" collapsed="false">
      <c r="A158" s="9"/>
      <c r="B158" s="9"/>
      <c r="C158" s="9"/>
      <c r="D158" s="9"/>
      <c r="E158" s="9"/>
      <c r="F158" s="9"/>
      <c r="G158" s="9"/>
      <c r="H158" s="9"/>
      <c r="I158" s="9"/>
      <c r="J158" s="9"/>
      <c r="K158" s="9"/>
      <c r="L158" s="9"/>
      <c r="M158" s="9"/>
      <c r="N158" s="14" t="str">
        <f aca="false">IFERROR(L158/M158,"")</f>
        <v/>
      </c>
      <c r="O158" s="14" t="str">
        <f aca="false">IF(N158="","",IF(N158&gt;=200,"Yes","No"))</f>
        <v/>
      </c>
      <c r="P158" s="9"/>
      <c r="Q158" s="9"/>
      <c r="R158" s="9"/>
      <c r="S158" s="9"/>
      <c r="T158" s="9"/>
    </row>
    <row r="159" customFormat="false" ht="15" hidden="false" customHeight="false" outlineLevel="0" collapsed="false">
      <c r="A159" s="9"/>
      <c r="B159" s="9"/>
      <c r="C159" s="9"/>
      <c r="D159" s="9"/>
      <c r="E159" s="9"/>
      <c r="F159" s="9"/>
      <c r="G159" s="9"/>
      <c r="H159" s="9"/>
      <c r="I159" s="9"/>
      <c r="J159" s="9"/>
      <c r="K159" s="9"/>
      <c r="L159" s="9"/>
      <c r="M159" s="9"/>
      <c r="N159" s="14" t="str">
        <f aca="false">IFERROR(L159/M159,"")</f>
        <v/>
      </c>
      <c r="O159" s="14" t="str">
        <f aca="false">IF(N159="","",IF(N159&gt;=200,"Yes","No"))</f>
        <v/>
      </c>
      <c r="P159" s="9"/>
      <c r="Q159" s="9"/>
      <c r="R159" s="9"/>
      <c r="S159" s="9"/>
      <c r="T159" s="9"/>
    </row>
    <row r="160" customFormat="false" ht="15" hidden="false" customHeight="false" outlineLevel="0" collapsed="false">
      <c r="A160" s="9"/>
      <c r="B160" s="9"/>
      <c r="C160" s="9"/>
      <c r="D160" s="9"/>
      <c r="E160" s="9"/>
      <c r="F160" s="9"/>
      <c r="G160" s="9"/>
      <c r="H160" s="9"/>
      <c r="I160" s="9"/>
      <c r="J160" s="9"/>
      <c r="K160" s="9"/>
      <c r="L160" s="9"/>
      <c r="M160" s="9"/>
      <c r="N160" s="14" t="str">
        <f aca="false">IFERROR(L160/M160,"")</f>
        <v/>
      </c>
      <c r="O160" s="14" t="str">
        <f aca="false">IF(N160="","",IF(N160&gt;=200,"Yes","No"))</f>
        <v/>
      </c>
      <c r="P160" s="9"/>
      <c r="Q160" s="9"/>
      <c r="R160" s="9"/>
      <c r="S160" s="9"/>
      <c r="T160" s="9"/>
    </row>
    <row r="161" customFormat="false" ht="15" hidden="false" customHeight="false" outlineLevel="0" collapsed="false">
      <c r="A161" s="9"/>
      <c r="B161" s="9"/>
      <c r="C161" s="9"/>
      <c r="D161" s="9"/>
      <c r="E161" s="9"/>
      <c r="F161" s="9"/>
      <c r="G161" s="9"/>
      <c r="H161" s="9"/>
      <c r="I161" s="9"/>
      <c r="J161" s="9"/>
      <c r="K161" s="9"/>
      <c r="L161" s="9"/>
      <c r="M161" s="9"/>
      <c r="N161" s="14" t="str">
        <f aca="false">IFERROR(L161/M161,"")</f>
        <v/>
      </c>
      <c r="O161" s="14" t="str">
        <f aca="false">IF(N161="","",IF(N161&gt;=200,"Yes","No"))</f>
        <v/>
      </c>
      <c r="P161" s="9"/>
      <c r="Q161" s="9"/>
      <c r="R161" s="9"/>
      <c r="S161" s="9"/>
      <c r="T161" s="9"/>
    </row>
    <row r="162" customFormat="false" ht="15" hidden="false" customHeight="false" outlineLevel="0" collapsed="false">
      <c r="A162" s="9"/>
      <c r="B162" s="9"/>
      <c r="C162" s="9"/>
      <c r="D162" s="9"/>
      <c r="E162" s="9"/>
      <c r="F162" s="9"/>
      <c r="G162" s="9"/>
      <c r="H162" s="9"/>
      <c r="I162" s="9"/>
      <c r="J162" s="9"/>
      <c r="K162" s="9"/>
      <c r="L162" s="9"/>
      <c r="M162" s="9"/>
      <c r="N162" s="14" t="str">
        <f aca="false">IFERROR(L162/M162,"")</f>
        <v/>
      </c>
      <c r="O162" s="14" t="str">
        <f aca="false">IF(N162="","",IF(N162&gt;=200,"Yes","No"))</f>
        <v/>
      </c>
      <c r="P162" s="9"/>
      <c r="Q162" s="9"/>
      <c r="R162" s="9"/>
      <c r="S162" s="9"/>
      <c r="T162" s="9"/>
    </row>
    <row r="163" customFormat="false" ht="15" hidden="false" customHeight="false" outlineLevel="0" collapsed="false">
      <c r="A163" s="9"/>
      <c r="B163" s="9"/>
      <c r="C163" s="9"/>
      <c r="D163" s="9"/>
      <c r="E163" s="9"/>
      <c r="F163" s="9"/>
      <c r="G163" s="9"/>
      <c r="H163" s="9"/>
      <c r="I163" s="9"/>
      <c r="J163" s="9"/>
      <c r="K163" s="9"/>
      <c r="L163" s="9"/>
      <c r="M163" s="9"/>
      <c r="N163" s="14" t="str">
        <f aca="false">IFERROR(L163/M163,"")</f>
        <v/>
      </c>
      <c r="O163" s="14" t="str">
        <f aca="false">IF(N163="","",IF(N163&gt;=200,"Yes","No"))</f>
        <v/>
      </c>
      <c r="P163" s="9"/>
      <c r="Q163" s="9"/>
      <c r="R163" s="9"/>
      <c r="S163" s="9"/>
      <c r="T163" s="9"/>
    </row>
    <row r="164" customFormat="false" ht="15" hidden="false" customHeight="false" outlineLevel="0" collapsed="false">
      <c r="A164" s="9"/>
      <c r="B164" s="9"/>
      <c r="C164" s="9"/>
      <c r="D164" s="9"/>
      <c r="E164" s="9"/>
      <c r="F164" s="9"/>
      <c r="G164" s="9"/>
      <c r="H164" s="9"/>
      <c r="I164" s="9"/>
      <c r="J164" s="9"/>
      <c r="K164" s="9"/>
      <c r="L164" s="9"/>
      <c r="M164" s="9"/>
      <c r="N164" s="14" t="str">
        <f aca="false">IFERROR(L164/M164,"")</f>
        <v/>
      </c>
      <c r="O164" s="14" t="str">
        <f aca="false">IF(N164="","",IF(N164&gt;=200,"Yes","No"))</f>
        <v/>
      </c>
      <c r="P164" s="9"/>
      <c r="Q164" s="9"/>
      <c r="R164" s="9"/>
      <c r="S164" s="9"/>
      <c r="T164" s="9"/>
    </row>
    <row r="165" customFormat="false" ht="15" hidden="false" customHeight="false" outlineLevel="0" collapsed="false">
      <c r="A165" s="9"/>
      <c r="B165" s="9"/>
      <c r="C165" s="9"/>
      <c r="D165" s="9"/>
      <c r="E165" s="9"/>
      <c r="F165" s="9"/>
      <c r="G165" s="9"/>
      <c r="H165" s="9"/>
      <c r="I165" s="9"/>
      <c r="J165" s="9"/>
      <c r="K165" s="9"/>
      <c r="L165" s="9"/>
      <c r="M165" s="9"/>
      <c r="N165" s="14" t="str">
        <f aca="false">IFERROR(L165/M165,"")</f>
        <v/>
      </c>
      <c r="O165" s="14" t="str">
        <f aca="false">IF(N165="","",IF(N165&gt;=200,"Yes","No"))</f>
        <v/>
      </c>
      <c r="P165" s="9"/>
      <c r="Q165" s="9"/>
      <c r="R165" s="9"/>
      <c r="S165" s="9"/>
      <c r="T165" s="9"/>
    </row>
    <row r="166" customFormat="false" ht="15" hidden="false" customHeight="false" outlineLevel="0" collapsed="false">
      <c r="A166" s="9"/>
      <c r="B166" s="9"/>
      <c r="C166" s="9"/>
      <c r="D166" s="9"/>
      <c r="E166" s="9"/>
      <c r="F166" s="9"/>
      <c r="G166" s="9"/>
      <c r="H166" s="9"/>
      <c r="I166" s="9"/>
      <c r="J166" s="9"/>
      <c r="K166" s="9"/>
      <c r="L166" s="9"/>
      <c r="M166" s="9"/>
      <c r="N166" s="14" t="str">
        <f aca="false">IFERROR(L166/M166,"")</f>
        <v/>
      </c>
      <c r="O166" s="14" t="str">
        <f aca="false">IF(N166="","",IF(N166&gt;=200,"Yes","No"))</f>
        <v/>
      </c>
      <c r="P166" s="9"/>
      <c r="Q166" s="9"/>
      <c r="R166" s="9"/>
      <c r="S166" s="9"/>
      <c r="T166" s="9"/>
    </row>
    <row r="167" customFormat="false" ht="15" hidden="false" customHeight="false" outlineLevel="0" collapsed="false">
      <c r="A167" s="9"/>
      <c r="B167" s="9"/>
      <c r="C167" s="9"/>
      <c r="D167" s="9"/>
      <c r="E167" s="9"/>
      <c r="F167" s="9"/>
      <c r="G167" s="9"/>
      <c r="H167" s="9"/>
      <c r="I167" s="9"/>
      <c r="J167" s="9"/>
      <c r="K167" s="9"/>
      <c r="L167" s="9"/>
      <c r="M167" s="9"/>
      <c r="N167" s="14" t="str">
        <f aca="false">IFERROR(L167/M167,"")</f>
        <v/>
      </c>
      <c r="O167" s="14" t="str">
        <f aca="false">IF(N167="","",IF(N167&gt;=200,"Yes","No"))</f>
        <v/>
      </c>
      <c r="P167" s="9"/>
      <c r="Q167" s="9"/>
      <c r="R167" s="9"/>
      <c r="S167" s="9"/>
      <c r="T167" s="9"/>
    </row>
    <row r="168" customFormat="false" ht="15" hidden="false" customHeight="false" outlineLevel="0" collapsed="false">
      <c r="A168" s="9"/>
      <c r="B168" s="9"/>
      <c r="C168" s="9"/>
      <c r="D168" s="9"/>
      <c r="E168" s="9"/>
      <c r="F168" s="9"/>
      <c r="G168" s="9"/>
      <c r="H168" s="9"/>
      <c r="I168" s="9"/>
      <c r="J168" s="9"/>
      <c r="K168" s="9"/>
      <c r="L168" s="9"/>
      <c r="M168" s="9"/>
      <c r="N168" s="14" t="str">
        <f aca="false">IFERROR(L168/M168,"")</f>
        <v/>
      </c>
      <c r="O168" s="14" t="str">
        <f aca="false">IF(N168="","",IF(N168&gt;=200,"Yes","No"))</f>
        <v/>
      </c>
      <c r="P168" s="9"/>
      <c r="Q168" s="9"/>
      <c r="R168" s="9"/>
      <c r="S168" s="9"/>
      <c r="T168" s="9"/>
    </row>
    <row r="169" customFormat="false" ht="15" hidden="false" customHeight="false" outlineLevel="0" collapsed="false">
      <c r="A169" s="9"/>
      <c r="B169" s="9"/>
      <c r="C169" s="9"/>
      <c r="D169" s="9"/>
      <c r="E169" s="9"/>
      <c r="F169" s="9"/>
      <c r="G169" s="9"/>
      <c r="H169" s="9"/>
      <c r="I169" s="9"/>
      <c r="J169" s="9"/>
      <c r="K169" s="9"/>
      <c r="L169" s="9"/>
      <c r="M169" s="9"/>
      <c r="N169" s="14" t="str">
        <f aca="false">IFERROR(L169/M169,"")</f>
        <v/>
      </c>
      <c r="O169" s="14" t="str">
        <f aca="false">IF(N169="","",IF(N169&gt;=200,"Yes","No"))</f>
        <v/>
      </c>
      <c r="P169" s="9"/>
      <c r="Q169" s="9"/>
      <c r="R169" s="9"/>
      <c r="S169" s="9"/>
      <c r="T169" s="9"/>
    </row>
    <row r="170" customFormat="false" ht="15" hidden="false" customHeight="false" outlineLevel="0" collapsed="false">
      <c r="A170" s="9"/>
      <c r="B170" s="9"/>
      <c r="C170" s="9"/>
      <c r="D170" s="9"/>
      <c r="E170" s="9"/>
      <c r="F170" s="9"/>
      <c r="G170" s="9"/>
      <c r="H170" s="9"/>
      <c r="I170" s="9"/>
      <c r="J170" s="9"/>
      <c r="K170" s="9"/>
      <c r="L170" s="9"/>
      <c r="M170" s="9"/>
      <c r="N170" s="14" t="str">
        <f aca="false">IFERROR(L170/M170,"")</f>
        <v/>
      </c>
      <c r="O170" s="14" t="str">
        <f aca="false">IF(N170="","",IF(N170&gt;=200,"Yes","No"))</f>
        <v/>
      </c>
      <c r="P170" s="9"/>
      <c r="Q170" s="9"/>
      <c r="R170" s="9"/>
      <c r="S170" s="9"/>
      <c r="T170" s="9"/>
    </row>
    <row r="171" customFormat="false" ht="15" hidden="false" customHeight="false" outlineLevel="0" collapsed="false">
      <c r="A171" s="9"/>
      <c r="B171" s="9"/>
      <c r="C171" s="9"/>
      <c r="D171" s="9"/>
      <c r="E171" s="9"/>
      <c r="F171" s="9"/>
      <c r="G171" s="9"/>
      <c r="H171" s="9"/>
      <c r="I171" s="9"/>
      <c r="J171" s="9"/>
      <c r="K171" s="9"/>
      <c r="L171" s="9"/>
      <c r="M171" s="9"/>
      <c r="N171" s="14" t="str">
        <f aca="false">IFERROR(L171/M171,"")</f>
        <v/>
      </c>
      <c r="O171" s="14" t="str">
        <f aca="false">IF(N171="","",IF(N171&gt;=200,"Yes","No"))</f>
        <v/>
      </c>
      <c r="P171" s="9"/>
      <c r="Q171" s="9"/>
      <c r="R171" s="9"/>
      <c r="S171" s="9"/>
      <c r="T171" s="9"/>
    </row>
    <row r="172" customFormat="false" ht="15" hidden="false" customHeight="false" outlineLevel="0" collapsed="false">
      <c r="A172" s="9"/>
      <c r="B172" s="9"/>
      <c r="C172" s="9"/>
      <c r="D172" s="9"/>
      <c r="E172" s="9"/>
      <c r="F172" s="9"/>
      <c r="G172" s="9"/>
      <c r="H172" s="9"/>
      <c r="I172" s="9"/>
      <c r="J172" s="9"/>
      <c r="K172" s="9"/>
      <c r="L172" s="9"/>
      <c r="M172" s="9"/>
      <c r="N172" s="14" t="str">
        <f aca="false">IFERROR(L172/M172,"")</f>
        <v/>
      </c>
      <c r="O172" s="14" t="str">
        <f aca="false">IF(N172="","",IF(N172&gt;=200,"Yes","No"))</f>
        <v/>
      </c>
      <c r="P172" s="9"/>
      <c r="Q172" s="9"/>
      <c r="R172" s="9"/>
      <c r="S172" s="9"/>
      <c r="T172" s="9"/>
    </row>
    <row r="173" customFormat="false" ht="15" hidden="false" customHeight="false" outlineLevel="0" collapsed="false">
      <c r="A173" s="9"/>
      <c r="B173" s="9"/>
      <c r="C173" s="9"/>
      <c r="D173" s="9"/>
      <c r="E173" s="9"/>
      <c r="F173" s="9"/>
      <c r="G173" s="9"/>
      <c r="H173" s="9"/>
      <c r="I173" s="9"/>
      <c r="J173" s="9"/>
      <c r="K173" s="9"/>
      <c r="L173" s="9"/>
      <c r="M173" s="9"/>
      <c r="N173" s="14" t="str">
        <f aca="false">IFERROR(L173/M173,"")</f>
        <v/>
      </c>
      <c r="O173" s="14" t="str">
        <f aca="false">IF(N173="","",IF(N173&gt;=200,"Yes","No"))</f>
        <v/>
      </c>
      <c r="P173" s="9"/>
      <c r="Q173" s="9"/>
      <c r="R173" s="9"/>
      <c r="S173" s="9"/>
      <c r="T173" s="9"/>
    </row>
    <row r="174" customFormat="false" ht="15" hidden="false" customHeight="false" outlineLevel="0" collapsed="false">
      <c r="A174" s="9"/>
      <c r="B174" s="9"/>
      <c r="C174" s="9"/>
      <c r="D174" s="9"/>
      <c r="E174" s="9"/>
      <c r="F174" s="9"/>
      <c r="G174" s="9"/>
      <c r="H174" s="9"/>
      <c r="I174" s="9"/>
      <c r="J174" s="9"/>
      <c r="K174" s="9"/>
      <c r="L174" s="9"/>
      <c r="M174" s="9"/>
      <c r="N174" s="14" t="str">
        <f aca="false">IFERROR(L174/M174,"")</f>
        <v/>
      </c>
      <c r="O174" s="14" t="str">
        <f aca="false">IF(N174="","",IF(N174&gt;=200,"Yes","No"))</f>
        <v/>
      </c>
      <c r="P174" s="9"/>
      <c r="Q174" s="9"/>
      <c r="R174" s="9"/>
      <c r="S174" s="9"/>
      <c r="T174" s="9"/>
    </row>
    <row r="175" customFormat="false" ht="15" hidden="false" customHeight="false" outlineLevel="0" collapsed="false">
      <c r="A175" s="9"/>
      <c r="B175" s="9"/>
      <c r="C175" s="9"/>
      <c r="D175" s="9"/>
      <c r="E175" s="9"/>
      <c r="F175" s="9"/>
      <c r="G175" s="9"/>
      <c r="H175" s="9"/>
      <c r="I175" s="9"/>
      <c r="J175" s="9"/>
      <c r="K175" s="9"/>
      <c r="L175" s="9"/>
      <c r="M175" s="9"/>
      <c r="N175" s="14" t="str">
        <f aca="false">IFERROR(L175/M175,"")</f>
        <v/>
      </c>
      <c r="O175" s="14" t="str">
        <f aca="false">IF(N175="","",IF(N175&gt;=200,"Yes","No"))</f>
        <v/>
      </c>
      <c r="P175" s="9"/>
      <c r="Q175" s="9"/>
      <c r="R175" s="9"/>
      <c r="S175" s="9"/>
      <c r="T175" s="9"/>
    </row>
    <row r="176" customFormat="false" ht="15" hidden="false" customHeight="false" outlineLevel="0" collapsed="false">
      <c r="A176" s="9"/>
      <c r="B176" s="9"/>
      <c r="C176" s="9"/>
      <c r="D176" s="9"/>
      <c r="E176" s="9"/>
      <c r="F176" s="9"/>
      <c r="G176" s="9"/>
      <c r="H176" s="9"/>
      <c r="I176" s="9"/>
      <c r="J176" s="9"/>
      <c r="K176" s="9"/>
      <c r="L176" s="9"/>
      <c r="M176" s="9"/>
      <c r="N176" s="14" t="str">
        <f aca="false">IFERROR(L176/M176,"")</f>
        <v/>
      </c>
      <c r="O176" s="14" t="str">
        <f aca="false">IF(N176="","",IF(N176&gt;=200,"Yes","No"))</f>
        <v/>
      </c>
      <c r="P176" s="9"/>
      <c r="Q176" s="9"/>
      <c r="R176" s="9"/>
      <c r="S176" s="9"/>
      <c r="T176" s="9"/>
    </row>
    <row r="177" customFormat="false" ht="15" hidden="false" customHeight="false" outlineLevel="0" collapsed="false">
      <c r="A177" s="9"/>
      <c r="B177" s="9"/>
      <c r="C177" s="9"/>
      <c r="D177" s="9"/>
      <c r="E177" s="9"/>
      <c r="F177" s="9"/>
      <c r="G177" s="9"/>
      <c r="H177" s="9"/>
      <c r="I177" s="9"/>
      <c r="J177" s="9"/>
      <c r="K177" s="9"/>
      <c r="L177" s="9"/>
      <c r="M177" s="9"/>
      <c r="N177" s="14" t="str">
        <f aca="false">IFERROR(L177/M177,"")</f>
        <v/>
      </c>
      <c r="O177" s="14" t="str">
        <f aca="false">IF(N177="","",IF(N177&gt;=200,"Yes","No"))</f>
        <v/>
      </c>
      <c r="P177" s="9"/>
      <c r="Q177" s="9"/>
      <c r="R177" s="9"/>
      <c r="S177" s="9"/>
      <c r="T177" s="9"/>
    </row>
    <row r="178" customFormat="false" ht="15" hidden="false" customHeight="false" outlineLevel="0" collapsed="false">
      <c r="A178" s="9"/>
      <c r="B178" s="9"/>
      <c r="C178" s="9"/>
      <c r="D178" s="9"/>
      <c r="E178" s="9"/>
      <c r="F178" s="9"/>
      <c r="G178" s="9"/>
      <c r="H178" s="9"/>
      <c r="I178" s="9"/>
      <c r="J178" s="9"/>
      <c r="K178" s="9"/>
      <c r="L178" s="9"/>
      <c r="M178" s="9"/>
      <c r="N178" s="14" t="str">
        <f aca="false">IFERROR(L178/M178,"")</f>
        <v/>
      </c>
      <c r="O178" s="14" t="str">
        <f aca="false">IF(N178="","",IF(N178&gt;=200,"Yes","No"))</f>
        <v/>
      </c>
      <c r="P178" s="9"/>
      <c r="Q178" s="9"/>
      <c r="R178" s="9"/>
      <c r="S178" s="9"/>
      <c r="T178" s="9"/>
    </row>
    <row r="179" customFormat="false" ht="15" hidden="false" customHeight="false" outlineLevel="0" collapsed="false">
      <c r="A179" s="9"/>
      <c r="B179" s="9"/>
      <c r="C179" s="9"/>
      <c r="D179" s="9"/>
      <c r="E179" s="9"/>
      <c r="F179" s="9"/>
      <c r="G179" s="9"/>
      <c r="H179" s="9"/>
      <c r="I179" s="9"/>
      <c r="J179" s="9"/>
      <c r="K179" s="9"/>
      <c r="L179" s="9"/>
      <c r="M179" s="9"/>
      <c r="N179" s="14" t="str">
        <f aca="false">IFERROR(L179/M179,"")</f>
        <v/>
      </c>
      <c r="O179" s="14" t="str">
        <f aca="false">IF(N179="","",IF(N179&gt;=200,"Yes","No"))</f>
        <v/>
      </c>
      <c r="P179" s="9"/>
      <c r="Q179" s="9"/>
      <c r="R179" s="9"/>
      <c r="S179" s="9"/>
      <c r="T179" s="9"/>
    </row>
    <row r="180" customFormat="false" ht="15" hidden="false" customHeight="false" outlineLevel="0" collapsed="false">
      <c r="A180" s="9"/>
      <c r="B180" s="9"/>
      <c r="C180" s="9"/>
      <c r="D180" s="9"/>
      <c r="E180" s="9"/>
      <c r="F180" s="9"/>
      <c r="G180" s="9"/>
      <c r="H180" s="9"/>
      <c r="I180" s="9"/>
      <c r="J180" s="9"/>
      <c r="K180" s="9"/>
      <c r="L180" s="9"/>
      <c r="M180" s="9"/>
      <c r="N180" s="14" t="str">
        <f aca="false">IFERROR(L180/M180,"")</f>
        <v/>
      </c>
      <c r="O180" s="14" t="str">
        <f aca="false">IF(N180="","",IF(N180&gt;=200,"Yes","No"))</f>
        <v/>
      </c>
      <c r="P180" s="9"/>
      <c r="Q180" s="9"/>
      <c r="R180" s="9"/>
      <c r="S180" s="9"/>
      <c r="T180" s="9"/>
    </row>
    <row r="181" customFormat="false" ht="15" hidden="false" customHeight="false" outlineLevel="0" collapsed="false">
      <c r="A181" s="9"/>
      <c r="B181" s="9"/>
      <c r="C181" s="9"/>
      <c r="D181" s="9"/>
      <c r="E181" s="9"/>
      <c r="F181" s="9"/>
      <c r="G181" s="9"/>
      <c r="H181" s="9"/>
      <c r="I181" s="9"/>
      <c r="J181" s="9"/>
      <c r="K181" s="9"/>
      <c r="L181" s="9"/>
      <c r="M181" s="9"/>
      <c r="N181" s="14" t="str">
        <f aca="false">IFERROR(L181/M181,"")</f>
        <v/>
      </c>
      <c r="O181" s="14" t="str">
        <f aca="false">IF(N181="","",IF(N181&gt;=200,"Yes","No"))</f>
        <v/>
      </c>
      <c r="P181" s="9"/>
      <c r="Q181" s="9"/>
      <c r="R181" s="9"/>
      <c r="S181" s="9"/>
      <c r="T181" s="9"/>
    </row>
    <row r="182" customFormat="false" ht="15" hidden="false" customHeight="false" outlineLevel="0" collapsed="false">
      <c r="A182" s="9"/>
      <c r="B182" s="9"/>
      <c r="C182" s="9"/>
      <c r="D182" s="9"/>
      <c r="E182" s="9"/>
      <c r="F182" s="9"/>
      <c r="G182" s="9"/>
      <c r="H182" s="9"/>
      <c r="I182" s="9"/>
      <c r="J182" s="9"/>
      <c r="K182" s="9"/>
      <c r="L182" s="9"/>
      <c r="M182" s="9"/>
      <c r="N182" s="14" t="str">
        <f aca="false">IFERROR(L182/M182,"")</f>
        <v/>
      </c>
      <c r="O182" s="14" t="str">
        <f aca="false">IF(N182="","",IF(N182&gt;=200,"Yes","No"))</f>
        <v/>
      </c>
      <c r="P182" s="9"/>
      <c r="Q182" s="9"/>
      <c r="R182" s="9"/>
      <c r="S182" s="9"/>
      <c r="T182" s="9"/>
    </row>
    <row r="183" customFormat="false" ht="15" hidden="false" customHeight="false" outlineLevel="0" collapsed="false">
      <c r="A183" s="9"/>
      <c r="B183" s="9"/>
      <c r="C183" s="9"/>
      <c r="D183" s="9"/>
      <c r="E183" s="9"/>
      <c r="F183" s="9"/>
      <c r="G183" s="9"/>
      <c r="H183" s="9"/>
      <c r="I183" s="9"/>
      <c r="J183" s="9"/>
      <c r="K183" s="9"/>
      <c r="L183" s="9"/>
      <c r="M183" s="9"/>
      <c r="N183" s="14" t="str">
        <f aca="false">IFERROR(L183/M183,"")</f>
        <v/>
      </c>
      <c r="O183" s="14" t="str">
        <f aca="false">IF(N183="","",IF(N183&gt;=200,"Yes","No"))</f>
        <v/>
      </c>
      <c r="P183" s="9"/>
      <c r="Q183" s="9"/>
      <c r="R183" s="9"/>
      <c r="S183" s="9"/>
      <c r="T183" s="9"/>
    </row>
    <row r="184" customFormat="false" ht="15" hidden="false" customHeight="false" outlineLevel="0" collapsed="false">
      <c r="A184" s="9"/>
      <c r="B184" s="9"/>
      <c r="C184" s="9"/>
      <c r="D184" s="9"/>
      <c r="E184" s="9"/>
      <c r="F184" s="9"/>
      <c r="G184" s="9"/>
      <c r="H184" s="9"/>
      <c r="I184" s="9"/>
      <c r="J184" s="9"/>
      <c r="K184" s="9"/>
      <c r="L184" s="9"/>
      <c r="M184" s="9"/>
      <c r="N184" s="14" t="str">
        <f aca="false">IFERROR(L184/M184,"")</f>
        <v/>
      </c>
      <c r="O184" s="14" t="str">
        <f aca="false">IF(N184="","",IF(N184&gt;=200,"Yes","No"))</f>
        <v/>
      </c>
      <c r="P184" s="9"/>
      <c r="Q184" s="9"/>
      <c r="R184" s="9"/>
      <c r="S184" s="9"/>
      <c r="T184" s="9"/>
    </row>
    <row r="185" customFormat="false" ht="15" hidden="false" customHeight="false" outlineLevel="0" collapsed="false">
      <c r="A185" s="9"/>
      <c r="B185" s="9"/>
      <c r="C185" s="9"/>
      <c r="D185" s="9"/>
      <c r="E185" s="9"/>
      <c r="F185" s="9"/>
      <c r="G185" s="9"/>
      <c r="H185" s="9"/>
      <c r="I185" s="9"/>
      <c r="J185" s="9"/>
      <c r="K185" s="9"/>
      <c r="L185" s="9"/>
      <c r="M185" s="9"/>
      <c r="N185" s="14" t="str">
        <f aca="false">IFERROR(L185/M185,"")</f>
        <v/>
      </c>
      <c r="O185" s="14" t="str">
        <f aca="false">IF(N185="","",IF(N185&gt;=200,"Yes","No"))</f>
        <v/>
      </c>
      <c r="P185" s="9"/>
      <c r="Q185" s="9"/>
      <c r="R185" s="9"/>
      <c r="S185" s="9"/>
      <c r="T185" s="9"/>
    </row>
    <row r="186" customFormat="false" ht="15" hidden="false" customHeight="false" outlineLevel="0" collapsed="false">
      <c r="A186" s="9"/>
      <c r="B186" s="9"/>
      <c r="C186" s="9"/>
      <c r="D186" s="9"/>
      <c r="E186" s="9"/>
      <c r="F186" s="9"/>
      <c r="G186" s="9"/>
      <c r="H186" s="9"/>
      <c r="I186" s="9"/>
      <c r="J186" s="9"/>
      <c r="K186" s="9"/>
      <c r="L186" s="9"/>
      <c r="M186" s="9"/>
      <c r="N186" s="14" t="str">
        <f aca="false">IFERROR(L186/M186,"")</f>
        <v/>
      </c>
      <c r="O186" s="14" t="str">
        <f aca="false">IF(N186="","",IF(N186&gt;=200,"Yes","No"))</f>
        <v/>
      </c>
      <c r="P186" s="9"/>
      <c r="Q186" s="9"/>
      <c r="R186" s="9"/>
      <c r="S186" s="9"/>
      <c r="T186" s="9"/>
    </row>
    <row r="187" customFormat="false" ht="15" hidden="false" customHeight="false" outlineLevel="0" collapsed="false">
      <c r="A187" s="9"/>
      <c r="B187" s="9"/>
      <c r="C187" s="9"/>
      <c r="D187" s="9"/>
      <c r="E187" s="9"/>
      <c r="F187" s="9"/>
      <c r="G187" s="9"/>
      <c r="H187" s="9"/>
      <c r="I187" s="9"/>
      <c r="J187" s="9"/>
      <c r="K187" s="9"/>
      <c r="L187" s="9"/>
      <c r="M187" s="9"/>
      <c r="N187" s="14" t="str">
        <f aca="false">IFERROR(L187/M187,"")</f>
        <v/>
      </c>
      <c r="O187" s="14" t="str">
        <f aca="false">IF(N187="","",IF(N187&gt;=200,"Yes","No"))</f>
        <v/>
      </c>
      <c r="P187" s="9"/>
      <c r="Q187" s="9"/>
      <c r="R187" s="9"/>
      <c r="S187" s="9"/>
      <c r="T187" s="9"/>
    </row>
    <row r="188" customFormat="false" ht="15" hidden="false" customHeight="false" outlineLevel="0" collapsed="false">
      <c r="A188" s="9"/>
      <c r="B188" s="9"/>
      <c r="C188" s="9"/>
      <c r="D188" s="9"/>
      <c r="E188" s="9"/>
      <c r="F188" s="9"/>
      <c r="G188" s="9"/>
      <c r="H188" s="9"/>
      <c r="I188" s="9"/>
      <c r="J188" s="9"/>
      <c r="K188" s="9"/>
      <c r="L188" s="9"/>
      <c r="M188" s="9"/>
      <c r="N188" s="14" t="str">
        <f aca="false">IFERROR(L188/M188,"")</f>
        <v/>
      </c>
      <c r="O188" s="14" t="str">
        <f aca="false">IF(N188="","",IF(N188&gt;=200,"Yes","No"))</f>
        <v/>
      </c>
      <c r="P188" s="9"/>
      <c r="Q188" s="9"/>
      <c r="R188" s="9"/>
      <c r="S188" s="9"/>
      <c r="T188" s="9"/>
    </row>
    <row r="189" customFormat="false" ht="15" hidden="false" customHeight="false" outlineLevel="0" collapsed="false">
      <c r="A189" s="9"/>
      <c r="B189" s="9"/>
      <c r="C189" s="9"/>
      <c r="D189" s="9"/>
      <c r="E189" s="9"/>
      <c r="F189" s="9"/>
      <c r="G189" s="9"/>
      <c r="H189" s="9"/>
      <c r="I189" s="9"/>
      <c r="J189" s="9"/>
      <c r="K189" s="9"/>
      <c r="L189" s="9"/>
      <c r="M189" s="9"/>
      <c r="N189" s="14" t="str">
        <f aca="false">IFERROR(L189/M189,"")</f>
        <v/>
      </c>
      <c r="O189" s="14" t="str">
        <f aca="false">IF(N189="","",IF(N189&gt;=200,"Yes","No"))</f>
        <v/>
      </c>
      <c r="P189" s="9"/>
      <c r="Q189" s="9"/>
      <c r="R189" s="9"/>
      <c r="S189" s="9"/>
      <c r="T189" s="9"/>
    </row>
    <row r="190" customFormat="false" ht="15" hidden="false" customHeight="false" outlineLevel="0" collapsed="false">
      <c r="A190" s="9"/>
      <c r="B190" s="9"/>
      <c r="C190" s="9"/>
      <c r="D190" s="9"/>
      <c r="E190" s="9"/>
      <c r="F190" s="9"/>
      <c r="G190" s="9"/>
      <c r="H190" s="9"/>
      <c r="I190" s="9"/>
      <c r="J190" s="9"/>
      <c r="K190" s="9"/>
      <c r="L190" s="9"/>
      <c r="M190" s="9"/>
      <c r="N190" s="14" t="str">
        <f aca="false">IFERROR(L190/M190,"")</f>
        <v/>
      </c>
      <c r="O190" s="14" t="str">
        <f aca="false">IF(N190="","",IF(N190&gt;=200,"Yes","No"))</f>
        <v/>
      </c>
      <c r="P190" s="9"/>
      <c r="Q190" s="9"/>
      <c r="R190" s="9"/>
      <c r="S190" s="9"/>
      <c r="T190" s="9"/>
    </row>
    <row r="191" customFormat="false" ht="15" hidden="false" customHeight="false" outlineLevel="0" collapsed="false">
      <c r="A191" s="9"/>
      <c r="B191" s="9"/>
      <c r="C191" s="9"/>
      <c r="D191" s="9"/>
      <c r="E191" s="9"/>
      <c r="F191" s="9"/>
      <c r="G191" s="9"/>
      <c r="H191" s="9"/>
      <c r="I191" s="9"/>
      <c r="J191" s="9"/>
      <c r="K191" s="9"/>
      <c r="L191" s="9"/>
      <c r="M191" s="9"/>
      <c r="N191" s="14" t="str">
        <f aca="false">IFERROR(L191/M191,"")</f>
        <v/>
      </c>
      <c r="O191" s="14" t="str">
        <f aca="false">IF(N191="","",IF(N191&gt;=200,"Yes","No"))</f>
        <v/>
      </c>
      <c r="P191" s="9"/>
      <c r="Q191" s="9"/>
      <c r="R191" s="9"/>
      <c r="S191" s="9"/>
      <c r="T191" s="9"/>
    </row>
    <row r="192" customFormat="false" ht="15" hidden="false" customHeight="false" outlineLevel="0" collapsed="false">
      <c r="A192" s="9"/>
      <c r="B192" s="9"/>
      <c r="C192" s="9"/>
      <c r="D192" s="9"/>
      <c r="E192" s="9"/>
      <c r="F192" s="9"/>
      <c r="G192" s="9"/>
      <c r="H192" s="9"/>
      <c r="I192" s="9"/>
      <c r="J192" s="9"/>
      <c r="K192" s="9"/>
      <c r="L192" s="9"/>
      <c r="M192" s="9"/>
      <c r="N192" s="14" t="str">
        <f aca="false">IFERROR(L192/M192,"")</f>
        <v/>
      </c>
      <c r="O192" s="14" t="str">
        <f aca="false">IF(N192="","",IF(N192&gt;=200,"Yes","No"))</f>
        <v/>
      </c>
      <c r="P192" s="9"/>
      <c r="Q192" s="9"/>
      <c r="R192" s="9"/>
      <c r="S192" s="9"/>
      <c r="T192" s="9"/>
    </row>
    <row r="193" customFormat="false" ht="15" hidden="false" customHeight="false" outlineLevel="0" collapsed="false">
      <c r="A193" s="9"/>
      <c r="B193" s="9"/>
      <c r="C193" s="9"/>
      <c r="D193" s="9"/>
      <c r="E193" s="9"/>
      <c r="F193" s="9"/>
      <c r="G193" s="9"/>
      <c r="H193" s="9"/>
      <c r="I193" s="9"/>
      <c r="J193" s="9"/>
      <c r="K193" s="9"/>
      <c r="L193" s="9"/>
      <c r="M193" s="9"/>
      <c r="N193" s="14" t="str">
        <f aca="false">IFERROR(L193/M193,"")</f>
        <v/>
      </c>
      <c r="O193" s="14" t="str">
        <f aca="false">IF(N193="","",IF(N193&gt;=200,"Yes","No"))</f>
        <v/>
      </c>
      <c r="P193" s="9"/>
      <c r="Q193" s="9"/>
      <c r="R193" s="9"/>
      <c r="S193" s="9"/>
      <c r="T193" s="9"/>
    </row>
    <row r="194" customFormat="false" ht="15" hidden="false" customHeight="false" outlineLevel="0" collapsed="false">
      <c r="A194" s="9"/>
      <c r="B194" s="9"/>
      <c r="C194" s="9"/>
      <c r="D194" s="9"/>
      <c r="E194" s="9"/>
      <c r="F194" s="9"/>
      <c r="G194" s="9"/>
      <c r="H194" s="9"/>
      <c r="I194" s="9"/>
      <c r="J194" s="9"/>
      <c r="K194" s="9"/>
      <c r="L194" s="9"/>
      <c r="M194" s="9"/>
      <c r="N194" s="14" t="str">
        <f aca="false">IFERROR(L194/M194,"")</f>
        <v/>
      </c>
      <c r="O194" s="14" t="str">
        <f aca="false">IF(N194="","",IF(N194&gt;=200,"Yes","No"))</f>
        <v/>
      </c>
      <c r="P194" s="9"/>
      <c r="Q194" s="9"/>
      <c r="R194" s="9"/>
      <c r="S194" s="9"/>
      <c r="T194" s="9"/>
    </row>
    <row r="195" customFormat="false" ht="15" hidden="false" customHeight="false" outlineLevel="0" collapsed="false">
      <c r="A195" s="9"/>
      <c r="B195" s="9"/>
      <c r="C195" s="9"/>
      <c r="D195" s="9"/>
      <c r="E195" s="9"/>
      <c r="F195" s="9"/>
      <c r="G195" s="9"/>
      <c r="H195" s="9"/>
      <c r="I195" s="9"/>
      <c r="J195" s="9"/>
      <c r="K195" s="9"/>
      <c r="L195" s="9"/>
      <c r="M195" s="9"/>
      <c r="N195" s="14" t="str">
        <f aca="false">IFERROR(L195/M195,"")</f>
        <v/>
      </c>
      <c r="O195" s="14" t="str">
        <f aca="false">IF(N195="","",IF(N195&gt;=200,"Yes","No"))</f>
        <v/>
      </c>
      <c r="P195" s="9"/>
      <c r="Q195" s="9"/>
      <c r="R195" s="9"/>
      <c r="S195" s="9"/>
      <c r="T195" s="9"/>
    </row>
    <row r="196" customFormat="false" ht="15" hidden="false" customHeight="false" outlineLevel="0" collapsed="false">
      <c r="A196" s="9"/>
      <c r="B196" s="9"/>
      <c r="C196" s="9"/>
      <c r="D196" s="9"/>
      <c r="E196" s="9"/>
      <c r="F196" s="9"/>
      <c r="G196" s="9"/>
      <c r="H196" s="9"/>
      <c r="I196" s="9"/>
      <c r="J196" s="9"/>
      <c r="K196" s="9"/>
      <c r="L196" s="9"/>
      <c r="M196" s="9"/>
      <c r="N196" s="14" t="str">
        <f aca="false">IFERROR(L196/M196,"")</f>
        <v/>
      </c>
      <c r="O196" s="14" t="str">
        <f aca="false">IF(N196="","",IF(N196&gt;=200,"Yes","No"))</f>
        <v/>
      </c>
      <c r="P196" s="9"/>
      <c r="Q196" s="9"/>
      <c r="R196" s="9"/>
      <c r="S196" s="9"/>
      <c r="T196" s="9"/>
    </row>
    <row r="197" customFormat="false" ht="15" hidden="false" customHeight="false" outlineLevel="0" collapsed="false">
      <c r="A197" s="9"/>
      <c r="B197" s="9"/>
      <c r="C197" s="9"/>
      <c r="D197" s="9"/>
      <c r="E197" s="9"/>
      <c r="F197" s="9"/>
      <c r="G197" s="9"/>
      <c r="H197" s="9"/>
      <c r="I197" s="9"/>
      <c r="J197" s="9"/>
      <c r="K197" s="9"/>
      <c r="L197" s="9"/>
      <c r="M197" s="9"/>
      <c r="N197" s="14" t="str">
        <f aca="false">IFERROR(L197/M197,"")</f>
        <v/>
      </c>
      <c r="O197" s="14" t="str">
        <f aca="false">IF(N197="","",IF(N197&gt;=200,"Yes","No"))</f>
        <v/>
      </c>
      <c r="P197" s="9"/>
      <c r="Q197" s="9"/>
      <c r="R197" s="9"/>
      <c r="S197" s="9"/>
      <c r="T197" s="9"/>
    </row>
    <row r="198" customFormat="false" ht="15" hidden="false" customHeight="false" outlineLevel="0" collapsed="false">
      <c r="A198" s="9"/>
      <c r="B198" s="9"/>
      <c r="C198" s="9"/>
      <c r="D198" s="9"/>
      <c r="E198" s="9"/>
      <c r="F198" s="9"/>
      <c r="G198" s="9"/>
      <c r="H198" s="9"/>
      <c r="I198" s="9"/>
      <c r="J198" s="9"/>
      <c r="K198" s="9"/>
      <c r="L198" s="9"/>
      <c r="M198" s="9"/>
      <c r="N198" s="14" t="str">
        <f aca="false">IFERROR(L198/M198,"")</f>
        <v/>
      </c>
      <c r="O198" s="14" t="str">
        <f aca="false">IF(N198="","",IF(N198&gt;=200,"Yes","No"))</f>
        <v/>
      </c>
      <c r="P198" s="9"/>
      <c r="Q198" s="9"/>
      <c r="R198" s="9"/>
      <c r="S198" s="9"/>
      <c r="T198" s="9"/>
    </row>
    <row r="199" customFormat="false" ht="15" hidden="false" customHeight="false" outlineLevel="0" collapsed="false">
      <c r="A199" s="9"/>
      <c r="B199" s="9"/>
      <c r="C199" s="9"/>
      <c r="D199" s="9"/>
      <c r="E199" s="9"/>
      <c r="F199" s="9"/>
      <c r="G199" s="9"/>
      <c r="H199" s="9"/>
      <c r="I199" s="9"/>
      <c r="J199" s="9"/>
      <c r="K199" s="9"/>
      <c r="L199" s="9"/>
      <c r="M199" s="9"/>
      <c r="N199" s="14" t="str">
        <f aca="false">IFERROR(L199/M199,"")</f>
        <v/>
      </c>
      <c r="O199" s="14" t="str">
        <f aca="false">IF(N199="","",IF(N199&gt;=200,"Yes","No"))</f>
        <v/>
      </c>
      <c r="P199" s="9"/>
      <c r="Q199" s="9"/>
      <c r="R199" s="9"/>
      <c r="S199" s="9"/>
      <c r="T199" s="9"/>
    </row>
    <row r="200" customFormat="false" ht="15" hidden="false" customHeight="false" outlineLevel="0" collapsed="false">
      <c r="A200" s="9"/>
      <c r="B200" s="9"/>
      <c r="C200" s="9"/>
      <c r="D200" s="9"/>
      <c r="E200" s="9"/>
      <c r="F200" s="9"/>
      <c r="G200" s="9"/>
      <c r="H200" s="9"/>
      <c r="I200" s="9"/>
      <c r="J200" s="9"/>
      <c r="K200" s="9"/>
      <c r="L200" s="9"/>
      <c r="M200" s="9"/>
      <c r="N200" s="14" t="str">
        <f aca="false">IFERROR(L200/M200,"")</f>
        <v/>
      </c>
      <c r="O200" s="14" t="str">
        <f aca="false">IF(N200="","",IF(N200&gt;=200,"Yes","No"))</f>
        <v/>
      </c>
      <c r="P200" s="9"/>
      <c r="Q200" s="9"/>
      <c r="R200" s="9"/>
      <c r="S200" s="9"/>
      <c r="T200" s="9"/>
    </row>
    <row r="201" customFormat="false" ht="15" hidden="false" customHeight="false" outlineLevel="0" collapsed="false">
      <c r="A201" s="9"/>
      <c r="B201" s="9"/>
      <c r="C201" s="9"/>
      <c r="D201" s="9"/>
      <c r="E201" s="9"/>
      <c r="F201" s="9"/>
      <c r="G201" s="9"/>
      <c r="H201" s="9"/>
      <c r="I201" s="9"/>
      <c r="J201" s="9"/>
      <c r="K201" s="9"/>
      <c r="L201" s="9"/>
      <c r="M201" s="9"/>
      <c r="N201" s="14" t="str">
        <f aca="false">IFERROR(L201/M201,"")</f>
        <v/>
      </c>
      <c r="O201" s="14" t="str">
        <f aca="false">IF(N201="","",IF(N201&gt;=200,"Yes","No"))</f>
        <v/>
      </c>
      <c r="P201" s="9"/>
      <c r="Q201" s="9"/>
      <c r="R201" s="9"/>
      <c r="S201" s="9"/>
      <c r="T201" s="9"/>
    </row>
    <row r="204" customFormat="false" ht="15" hidden="false" customHeight="false" outlineLevel="0" collapsed="false">
      <c r="A204" s="23" t="s">
        <v>237</v>
      </c>
    </row>
    <row r="205" customFormat="false" ht="15" hidden="false" customHeight="false" outlineLevel="0" collapsed="false">
      <c r="A205" s="5" t="s">
        <v>238</v>
      </c>
      <c r="B205" s="5" t="n">
        <f aca="false">COUNTA(A3:A201)</f>
        <v>0</v>
      </c>
    </row>
    <row r="206" customFormat="false" ht="15" hidden="false" customHeight="false" outlineLevel="0" collapsed="false">
      <c r="A206" s="5" t="s">
        <v>239</v>
      </c>
      <c r="B206" s="5" t="n">
        <f aca="false">COUNTIF(B3:B201,"Yes")</f>
        <v>0</v>
      </c>
    </row>
    <row r="207" customFormat="false" ht="15" hidden="false" customHeight="false" outlineLevel="0" collapsed="false">
      <c r="A207" s="5" t="s">
        <v>240</v>
      </c>
      <c r="B207" s="24" t="str">
        <f aca="false">IFERROR(COUNTIF(B3:B201,"Yes")/COUNTA(A3:A201),"")</f>
        <v/>
      </c>
    </row>
    <row r="208" customFormat="false" ht="15" hidden="false" customHeight="false" outlineLevel="0" collapsed="false">
      <c r="A208" s="5" t="s">
        <v>241</v>
      </c>
      <c r="B208" s="5" t="n">
        <f aca="false">COUNTIF(D3:D201,"Yes")</f>
        <v>0</v>
      </c>
    </row>
    <row r="209" customFormat="false" ht="15" hidden="false" customHeight="false" outlineLevel="0" collapsed="false">
      <c r="A209" s="5" t="s">
        <v>242</v>
      </c>
      <c r="B209" s="24" t="str">
        <f aca="false">IFERROR(COUNTIF(D3:D201,"Yes")/COUNTA(A3:A201),"")</f>
        <v/>
      </c>
    </row>
    <row r="210" customFormat="false" ht="15" hidden="false" customHeight="false" outlineLevel="0" collapsed="false">
      <c r="A210" s="5" t="s">
        <v>243</v>
      </c>
      <c r="B210" s="5" t="n">
        <f aca="false">COUNTIF(F3:F201,"Yes")</f>
        <v>0</v>
      </c>
    </row>
    <row r="211" customFormat="false" ht="15" hidden="false" customHeight="false" outlineLevel="0" collapsed="false">
      <c r="A211" s="5" t="s">
        <v>244</v>
      </c>
      <c r="B211" s="5" t="n">
        <f aca="false">COUNTIF(G3:G201,"Yes")</f>
        <v>0</v>
      </c>
    </row>
    <row r="212" customFormat="false" ht="15" hidden="false" customHeight="false" outlineLevel="0" collapsed="false">
      <c r="A212" s="5" t="s">
        <v>245</v>
      </c>
      <c r="B212" s="5" t="n">
        <f aca="false">COUNTIF(H3:H201,"Yes")</f>
        <v>0</v>
      </c>
    </row>
    <row r="213" customFormat="false" ht="15" hidden="false" customHeight="false" outlineLevel="0" collapsed="false">
      <c r="A213" s="5" t="s">
        <v>246</v>
      </c>
      <c r="B213" s="5" t="n">
        <f aca="false">COUNTIF(P3:P201,"Yes")</f>
        <v>0</v>
      </c>
    </row>
    <row r="214" customFormat="false" ht="15" hidden="false" customHeight="false" outlineLevel="0" collapsed="false">
      <c r="A214" s="5" t="s">
        <v>247</v>
      </c>
      <c r="B214" s="5" t="n">
        <f aca="false">COUNTIF(Q3:Q201,"Yes")</f>
        <v>0</v>
      </c>
    </row>
    <row r="215" customFormat="false" ht="15" hidden="false" customHeight="false" outlineLevel="0" collapsed="false">
      <c r="A215" s="5" t="s">
        <v>248</v>
      </c>
      <c r="B215" s="5" t="n">
        <f aca="false">COUNTIF(O3:O201,"Yes")</f>
        <v>0</v>
      </c>
    </row>
    <row r="216" customFormat="false" ht="15" hidden="false" customHeight="false" outlineLevel="0" collapsed="false">
      <c r="A216" s="5" t="s">
        <v>249</v>
      </c>
      <c r="B216" s="5" t="n">
        <f aca="false">COUNTIF(S3:S201,"Probable")</f>
        <v>0</v>
      </c>
    </row>
    <row r="217" customFormat="false" ht="15" hidden="false" customHeight="false" outlineLevel="0" collapsed="false">
      <c r="A217" s="5" t="s">
        <v>250</v>
      </c>
      <c r="B217" s="5" t="n">
        <f aca="false">COUNTIF(S3:S201,"Possible")</f>
        <v>0</v>
      </c>
    </row>
  </sheetData>
  <dataValidations count="4">
    <dataValidation allowBlank="true" errorStyle="stop" operator="between" showDropDown="false" showErrorMessage="false" showInputMessage="false" sqref="B2:B201 D2:D201 F2:H201 J2:J201 P2:Q201" type="list">
      <formula1>"Yes,No,Unclear"</formula1>
      <formula2>0</formula2>
    </dataValidation>
    <dataValidation allowBlank="true" errorStyle="stop" operator="between" showDropDown="false" showErrorMessage="false" showInputMessage="false" sqref="K2:K201" type="list">
      <formula1>"Yes,No,Unclear,NA"</formula1>
      <formula2>0</formula2>
    </dataValidation>
    <dataValidation allowBlank="true" errorStyle="stop" operator="between" showDropDown="false" showErrorMessage="false" showInputMessage="false" sqref="C2:C201" type="list">
      <formula1>"None,Temporal,Geographical,Independent cohort,Other"</formula1>
      <formula2>0</formula2>
    </dataValidation>
    <dataValidation allowBlank="true" errorStyle="stop" operator="between" showDropDown="false" showErrorMessage="false" showInputMessage="false" sqref="S2:S201" type="list">
      <formula1>"None,Possible,Probable"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4" min="3" style="0" width="16"/>
    <col collapsed="false" customWidth="true" hidden="false" outlineLevel="0" max="5" min="5" style="0" width="12"/>
    <col collapsed="false" customWidth="true" hidden="false" outlineLevel="0" max="6" min="6" style="0" width="34"/>
  </cols>
  <sheetData>
    <row r="1" customFormat="false" ht="33.75" hidden="false" customHeight="true" outlineLevel="0" collapsed="false">
      <c r="A1" s="7" t="s">
        <v>35</v>
      </c>
      <c r="B1" s="7" t="s">
        <v>251</v>
      </c>
      <c r="C1" s="7" t="s">
        <v>252</v>
      </c>
      <c r="D1" s="7" t="s">
        <v>253</v>
      </c>
      <c r="E1" s="7" t="s">
        <v>254</v>
      </c>
      <c r="F1" s="7" t="s">
        <v>255</v>
      </c>
    </row>
    <row r="2" customFormat="false" ht="15" hidden="false" customHeight="false" outlineLevel="0" collapsed="false">
      <c r="A2" s="9"/>
      <c r="B2" s="9"/>
      <c r="C2" s="9"/>
      <c r="D2" s="9"/>
      <c r="E2" s="14" t="str">
        <f aca="false">IF(OR(C2="",D2=""),"",IF(EXACT(C2,D2),1,0))</f>
        <v/>
      </c>
      <c r="F2" s="9"/>
    </row>
    <row r="3" customFormat="false" ht="15" hidden="false" customHeight="false" outlineLevel="0" collapsed="false">
      <c r="A3" s="9"/>
      <c r="B3" s="9"/>
      <c r="C3" s="9"/>
      <c r="D3" s="9"/>
      <c r="E3" s="14" t="str">
        <f aca="false">IF(OR(C3="",D3=""),"",IF(EXACT(C3,D3),1,0))</f>
        <v/>
      </c>
      <c r="F3" s="9"/>
    </row>
    <row r="4" customFormat="false" ht="15" hidden="false" customHeight="false" outlineLevel="0" collapsed="false">
      <c r="A4" s="9"/>
      <c r="B4" s="9"/>
      <c r="C4" s="9"/>
      <c r="D4" s="9"/>
      <c r="E4" s="14" t="str">
        <f aca="false">IF(OR(C4="",D4=""),"",IF(EXACT(C4,D4),1,0))</f>
        <v/>
      </c>
      <c r="F4" s="9"/>
    </row>
    <row r="5" customFormat="false" ht="15" hidden="false" customHeight="false" outlineLevel="0" collapsed="false">
      <c r="A5" s="9"/>
      <c r="B5" s="9"/>
      <c r="C5" s="9"/>
      <c r="D5" s="9"/>
      <c r="E5" s="14" t="str">
        <f aca="false">IF(OR(C5="",D5=""),"",IF(EXACT(C5,D5),1,0))</f>
        <v/>
      </c>
      <c r="F5" s="9"/>
    </row>
    <row r="6" customFormat="false" ht="15" hidden="false" customHeight="false" outlineLevel="0" collapsed="false">
      <c r="A6" s="9"/>
      <c r="B6" s="9"/>
      <c r="C6" s="9"/>
      <c r="D6" s="9"/>
      <c r="E6" s="14" t="str">
        <f aca="false">IF(OR(C6="",D6=""),"",IF(EXACT(C6,D6),1,0))</f>
        <v/>
      </c>
      <c r="F6" s="9"/>
    </row>
    <row r="7" customFormat="false" ht="15" hidden="false" customHeight="false" outlineLevel="0" collapsed="false">
      <c r="A7" s="9"/>
      <c r="B7" s="9"/>
      <c r="C7" s="9"/>
      <c r="D7" s="9"/>
      <c r="E7" s="14" t="str">
        <f aca="false">IF(OR(C7="",D7=""),"",IF(EXACT(C7,D7),1,0))</f>
        <v/>
      </c>
      <c r="F7" s="9"/>
    </row>
    <row r="8" customFormat="false" ht="15" hidden="false" customHeight="false" outlineLevel="0" collapsed="false">
      <c r="A8" s="9"/>
      <c r="B8" s="9"/>
      <c r="C8" s="9"/>
      <c r="D8" s="9"/>
      <c r="E8" s="14" t="str">
        <f aca="false">IF(OR(C8="",D8=""),"",IF(EXACT(C8,D8),1,0))</f>
        <v/>
      </c>
      <c r="F8" s="9"/>
    </row>
    <row r="9" customFormat="false" ht="15" hidden="false" customHeight="false" outlineLevel="0" collapsed="false">
      <c r="A9" s="9"/>
      <c r="B9" s="9"/>
      <c r="C9" s="9"/>
      <c r="D9" s="9"/>
      <c r="E9" s="14" t="str">
        <f aca="false">IF(OR(C9="",D9=""),"",IF(EXACT(C9,D9),1,0))</f>
        <v/>
      </c>
      <c r="F9" s="9"/>
    </row>
    <row r="10" customFormat="false" ht="15" hidden="false" customHeight="false" outlineLevel="0" collapsed="false">
      <c r="A10" s="9"/>
      <c r="B10" s="9"/>
      <c r="C10" s="9"/>
      <c r="D10" s="9"/>
      <c r="E10" s="14" t="str">
        <f aca="false">IF(OR(C10="",D10=""),"",IF(EXACT(C10,D10),1,0))</f>
        <v/>
      </c>
      <c r="F10" s="9"/>
    </row>
    <row r="11" customFormat="false" ht="15" hidden="false" customHeight="false" outlineLevel="0" collapsed="false">
      <c r="A11" s="9"/>
      <c r="B11" s="9"/>
      <c r="C11" s="9"/>
      <c r="D11" s="9"/>
      <c r="E11" s="14" t="str">
        <f aca="false">IF(OR(C11="",D11=""),"",IF(EXACT(C11,D11),1,0))</f>
        <v/>
      </c>
      <c r="F11" s="9"/>
    </row>
    <row r="12" customFormat="false" ht="15" hidden="false" customHeight="false" outlineLevel="0" collapsed="false">
      <c r="A12" s="9"/>
      <c r="B12" s="9"/>
      <c r="C12" s="9"/>
      <c r="D12" s="9"/>
      <c r="E12" s="14" t="str">
        <f aca="false">IF(OR(C12="",D12=""),"",IF(EXACT(C12,D12),1,0))</f>
        <v/>
      </c>
      <c r="F12" s="9"/>
    </row>
    <row r="13" customFormat="false" ht="15" hidden="false" customHeight="false" outlineLevel="0" collapsed="false">
      <c r="A13" s="9"/>
      <c r="B13" s="9"/>
      <c r="C13" s="9"/>
      <c r="D13" s="9"/>
      <c r="E13" s="14" t="str">
        <f aca="false">IF(OR(C13="",D13=""),"",IF(EXACT(C13,D13),1,0))</f>
        <v/>
      </c>
      <c r="F13" s="9"/>
    </row>
    <row r="14" customFormat="false" ht="15" hidden="false" customHeight="false" outlineLevel="0" collapsed="false">
      <c r="A14" s="9"/>
      <c r="B14" s="9"/>
      <c r="C14" s="9"/>
      <c r="D14" s="9"/>
      <c r="E14" s="14" t="str">
        <f aca="false">IF(OR(C14="",D14=""),"",IF(EXACT(C14,D14),1,0))</f>
        <v/>
      </c>
      <c r="F14" s="9"/>
    </row>
    <row r="15" customFormat="false" ht="15" hidden="false" customHeight="false" outlineLevel="0" collapsed="false">
      <c r="A15" s="9"/>
      <c r="B15" s="9"/>
      <c r="C15" s="9"/>
      <c r="D15" s="9"/>
      <c r="E15" s="14" t="str">
        <f aca="false">IF(OR(C15="",D15=""),"",IF(EXACT(C15,D15),1,0))</f>
        <v/>
      </c>
      <c r="F15" s="9"/>
    </row>
    <row r="16" customFormat="false" ht="15" hidden="false" customHeight="false" outlineLevel="0" collapsed="false">
      <c r="A16" s="9"/>
      <c r="B16" s="9"/>
      <c r="C16" s="9"/>
      <c r="D16" s="9"/>
      <c r="E16" s="14" t="str">
        <f aca="false">IF(OR(C16="",D16=""),"",IF(EXACT(C16,D16),1,0))</f>
        <v/>
      </c>
      <c r="F16" s="9"/>
    </row>
    <row r="17" customFormat="false" ht="15" hidden="false" customHeight="false" outlineLevel="0" collapsed="false">
      <c r="A17" s="9"/>
      <c r="B17" s="9"/>
      <c r="C17" s="9"/>
      <c r="D17" s="9"/>
      <c r="E17" s="14" t="str">
        <f aca="false">IF(OR(C17="",D17=""),"",IF(EXACT(C17,D17),1,0))</f>
        <v/>
      </c>
      <c r="F17" s="9"/>
    </row>
    <row r="18" customFormat="false" ht="15" hidden="false" customHeight="false" outlineLevel="0" collapsed="false">
      <c r="A18" s="9"/>
      <c r="B18" s="9"/>
      <c r="C18" s="9"/>
      <c r="D18" s="9"/>
      <c r="E18" s="14" t="str">
        <f aca="false">IF(OR(C18="",D18=""),"",IF(EXACT(C18,D18),1,0))</f>
        <v/>
      </c>
      <c r="F18" s="9"/>
    </row>
    <row r="19" customFormat="false" ht="15" hidden="false" customHeight="false" outlineLevel="0" collapsed="false">
      <c r="A19" s="9"/>
      <c r="B19" s="9"/>
      <c r="C19" s="9"/>
      <c r="D19" s="9"/>
      <c r="E19" s="14" t="str">
        <f aca="false">IF(OR(C19="",D19=""),"",IF(EXACT(C19,D19),1,0))</f>
        <v/>
      </c>
      <c r="F19" s="9"/>
    </row>
    <row r="20" customFormat="false" ht="15" hidden="false" customHeight="false" outlineLevel="0" collapsed="false">
      <c r="A20" s="9"/>
      <c r="B20" s="9"/>
      <c r="C20" s="9"/>
      <c r="D20" s="9"/>
      <c r="E20" s="14" t="str">
        <f aca="false">IF(OR(C20="",D20=""),"",IF(EXACT(C20,D20),1,0))</f>
        <v/>
      </c>
      <c r="F20" s="9"/>
    </row>
    <row r="21" customFormat="false" ht="15" hidden="false" customHeight="false" outlineLevel="0" collapsed="false">
      <c r="A21" s="9"/>
      <c r="B21" s="9"/>
      <c r="C21" s="9"/>
      <c r="D21" s="9"/>
      <c r="E21" s="14" t="str">
        <f aca="false">IF(OR(C21="",D21=""),"",IF(EXACT(C21,D21),1,0))</f>
        <v/>
      </c>
      <c r="F21" s="9"/>
    </row>
    <row r="22" customFormat="false" ht="15" hidden="false" customHeight="false" outlineLevel="0" collapsed="false">
      <c r="A22" s="9"/>
      <c r="B22" s="9"/>
      <c r="C22" s="9"/>
      <c r="D22" s="9"/>
      <c r="E22" s="14" t="str">
        <f aca="false">IF(OR(C22="",D22=""),"",IF(EXACT(C22,D22),1,0))</f>
        <v/>
      </c>
      <c r="F22" s="9"/>
    </row>
    <row r="23" customFormat="false" ht="15" hidden="false" customHeight="false" outlineLevel="0" collapsed="false">
      <c r="A23" s="9"/>
      <c r="B23" s="9"/>
      <c r="C23" s="9"/>
      <c r="D23" s="9"/>
      <c r="E23" s="14" t="str">
        <f aca="false">IF(OR(C23="",D23=""),"",IF(EXACT(C23,D23),1,0))</f>
        <v/>
      </c>
      <c r="F23" s="9"/>
    </row>
    <row r="24" customFormat="false" ht="15" hidden="false" customHeight="false" outlineLevel="0" collapsed="false">
      <c r="A24" s="9"/>
      <c r="B24" s="9"/>
      <c r="C24" s="9"/>
      <c r="D24" s="9"/>
      <c r="E24" s="14" t="str">
        <f aca="false">IF(OR(C24="",D24=""),"",IF(EXACT(C24,D24),1,0))</f>
        <v/>
      </c>
      <c r="F24" s="9"/>
    </row>
    <row r="25" customFormat="false" ht="15" hidden="false" customHeight="false" outlineLevel="0" collapsed="false">
      <c r="A25" s="9"/>
      <c r="B25" s="9"/>
      <c r="C25" s="9"/>
      <c r="D25" s="9"/>
      <c r="E25" s="14" t="str">
        <f aca="false">IF(OR(C25="",D25=""),"",IF(EXACT(C25,D25),1,0))</f>
        <v/>
      </c>
      <c r="F25" s="9"/>
    </row>
    <row r="26" customFormat="false" ht="15" hidden="false" customHeight="false" outlineLevel="0" collapsed="false">
      <c r="A26" s="9"/>
      <c r="B26" s="9"/>
      <c r="C26" s="9"/>
      <c r="D26" s="9"/>
      <c r="E26" s="14" t="str">
        <f aca="false">IF(OR(C26="",D26=""),"",IF(EXACT(C26,D26),1,0))</f>
        <v/>
      </c>
      <c r="F26" s="9"/>
    </row>
    <row r="27" customFormat="false" ht="15" hidden="false" customHeight="false" outlineLevel="0" collapsed="false">
      <c r="A27" s="9"/>
      <c r="B27" s="9"/>
      <c r="C27" s="9"/>
      <c r="D27" s="9"/>
      <c r="E27" s="14" t="str">
        <f aca="false">IF(OR(C27="",D27=""),"",IF(EXACT(C27,D27),1,0))</f>
        <v/>
      </c>
      <c r="F27" s="9"/>
    </row>
    <row r="28" customFormat="false" ht="15" hidden="false" customHeight="false" outlineLevel="0" collapsed="false">
      <c r="A28" s="9"/>
      <c r="B28" s="9"/>
      <c r="C28" s="9"/>
      <c r="D28" s="9"/>
      <c r="E28" s="14" t="str">
        <f aca="false">IF(OR(C28="",D28=""),"",IF(EXACT(C28,D28),1,0))</f>
        <v/>
      </c>
      <c r="F28" s="9"/>
    </row>
    <row r="29" customFormat="false" ht="15" hidden="false" customHeight="false" outlineLevel="0" collapsed="false">
      <c r="A29" s="9"/>
      <c r="B29" s="9"/>
      <c r="C29" s="9"/>
      <c r="D29" s="9"/>
      <c r="E29" s="14" t="str">
        <f aca="false">IF(OR(C29="",D29=""),"",IF(EXACT(C29,D29),1,0))</f>
        <v/>
      </c>
      <c r="F29" s="9"/>
    </row>
    <row r="30" customFormat="false" ht="15" hidden="false" customHeight="false" outlineLevel="0" collapsed="false">
      <c r="A30" s="9"/>
      <c r="B30" s="9"/>
      <c r="C30" s="9"/>
      <c r="D30" s="9"/>
      <c r="E30" s="14" t="str">
        <f aca="false">IF(OR(C30="",D30=""),"",IF(EXACT(C30,D30),1,0))</f>
        <v/>
      </c>
      <c r="F30" s="9"/>
    </row>
    <row r="31" customFormat="false" ht="15" hidden="false" customHeight="false" outlineLevel="0" collapsed="false">
      <c r="A31" s="9"/>
      <c r="B31" s="9"/>
      <c r="C31" s="9"/>
      <c r="D31" s="9"/>
      <c r="E31" s="14" t="str">
        <f aca="false">IF(OR(C31="",D31=""),"",IF(EXACT(C31,D31),1,0))</f>
        <v/>
      </c>
      <c r="F31" s="9"/>
    </row>
    <row r="32" customFormat="false" ht="15" hidden="false" customHeight="false" outlineLevel="0" collapsed="false">
      <c r="A32" s="9"/>
      <c r="B32" s="9"/>
      <c r="C32" s="9"/>
      <c r="D32" s="9"/>
      <c r="E32" s="14" t="str">
        <f aca="false">IF(OR(C32="",D32=""),"",IF(EXACT(C32,D32),1,0))</f>
        <v/>
      </c>
      <c r="F32" s="9"/>
    </row>
    <row r="33" customFormat="false" ht="15" hidden="false" customHeight="false" outlineLevel="0" collapsed="false">
      <c r="A33" s="9"/>
      <c r="B33" s="9"/>
      <c r="C33" s="9"/>
      <c r="D33" s="9"/>
      <c r="E33" s="14" t="str">
        <f aca="false">IF(OR(C33="",D33=""),"",IF(EXACT(C33,D33),1,0))</f>
        <v/>
      </c>
      <c r="F33" s="9"/>
    </row>
    <row r="34" customFormat="false" ht="15" hidden="false" customHeight="false" outlineLevel="0" collapsed="false">
      <c r="A34" s="9"/>
      <c r="B34" s="9"/>
      <c r="C34" s="9"/>
      <c r="D34" s="9"/>
      <c r="E34" s="14" t="str">
        <f aca="false">IF(OR(C34="",D34=""),"",IF(EXACT(C34,D34),1,0))</f>
        <v/>
      </c>
      <c r="F34" s="9"/>
    </row>
    <row r="35" customFormat="false" ht="15" hidden="false" customHeight="false" outlineLevel="0" collapsed="false">
      <c r="A35" s="9"/>
      <c r="B35" s="9"/>
      <c r="C35" s="9"/>
      <c r="D35" s="9"/>
      <c r="E35" s="14" t="str">
        <f aca="false">IF(OR(C35="",D35=""),"",IF(EXACT(C35,D35),1,0))</f>
        <v/>
      </c>
      <c r="F35" s="9"/>
    </row>
    <row r="36" customFormat="false" ht="15" hidden="false" customHeight="false" outlineLevel="0" collapsed="false">
      <c r="A36" s="9"/>
      <c r="B36" s="9"/>
      <c r="C36" s="9"/>
      <c r="D36" s="9"/>
      <c r="E36" s="14" t="str">
        <f aca="false">IF(OR(C36="",D36=""),"",IF(EXACT(C36,D36),1,0))</f>
        <v/>
      </c>
      <c r="F36" s="9"/>
    </row>
    <row r="37" customFormat="false" ht="15" hidden="false" customHeight="false" outlineLevel="0" collapsed="false">
      <c r="A37" s="9"/>
      <c r="B37" s="9"/>
      <c r="C37" s="9"/>
      <c r="D37" s="9"/>
      <c r="E37" s="14" t="str">
        <f aca="false">IF(OR(C37="",D37=""),"",IF(EXACT(C37,D37),1,0))</f>
        <v/>
      </c>
      <c r="F37" s="9"/>
    </row>
    <row r="38" customFormat="false" ht="15" hidden="false" customHeight="false" outlineLevel="0" collapsed="false">
      <c r="A38" s="9"/>
      <c r="B38" s="9"/>
      <c r="C38" s="9"/>
      <c r="D38" s="9"/>
      <c r="E38" s="14" t="str">
        <f aca="false">IF(OR(C38="",D38=""),"",IF(EXACT(C38,D38),1,0))</f>
        <v/>
      </c>
      <c r="F38" s="9"/>
    </row>
    <row r="39" customFormat="false" ht="15" hidden="false" customHeight="false" outlineLevel="0" collapsed="false">
      <c r="A39" s="9"/>
      <c r="B39" s="9"/>
      <c r="C39" s="9"/>
      <c r="D39" s="9"/>
      <c r="E39" s="14" t="str">
        <f aca="false">IF(OR(C39="",D39=""),"",IF(EXACT(C39,D39),1,0))</f>
        <v/>
      </c>
      <c r="F39" s="9"/>
    </row>
    <row r="40" customFormat="false" ht="15" hidden="false" customHeight="false" outlineLevel="0" collapsed="false">
      <c r="A40" s="9"/>
      <c r="B40" s="9"/>
      <c r="C40" s="9"/>
      <c r="D40" s="9"/>
      <c r="E40" s="14" t="str">
        <f aca="false">IF(OR(C40="",D40=""),"",IF(EXACT(C40,D40),1,0))</f>
        <v/>
      </c>
      <c r="F40" s="9"/>
    </row>
    <row r="41" customFormat="false" ht="15" hidden="false" customHeight="false" outlineLevel="0" collapsed="false">
      <c r="A41" s="9"/>
      <c r="B41" s="9"/>
      <c r="C41" s="9"/>
      <c r="D41" s="9"/>
      <c r="E41" s="14" t="str">
        <f aca="false">IF(OR(C41="",D41=""),"",IF(EXACT(C41,D41),1,0))</f>
        <v/>
      </c>
      <c r="F41" s="9"/>
    </row>
    <row r="42" customFormat="false" ht="15" hidden="false" customHeight="false" outlineLevel="0" collapsed="false">
      <c r="A42" s="9"/>
      <c r="B42" s="9"/>
      <c r="C42" s="9"/>
      <c r="D42" s="9"/>
      <c r="E42" s="14" t="str">
        <f aca="false">IF(OR(C42="",D42=""),"",IF(EXACT(C42,D42),1,0))</f>
        <v/>
      </c>
      <c r="F42" s="9"/>
    </row>
    <row r="43" customFormat="false" ht="15" hidden="false" customHeight="false" outlineLevel="0" collapsed="false">
      <c r="A43" s="9"/>
      <c r="B43" s="9"/>
      <c r="C43" s="9"/>
      <c r="D43" s="9"/>
      <c r="E43" s="14" t="str">
        <f aca="false">IF(OR(C43="",D43=""),"",IF(EXACT(C43,D43),1,0))</f>
        <v/>
      </c>
      <c r="F43" s="9"/>
    </row>
    <row r="44" customFormat="false" ht="15" hidden="false" customHeight="false" outlineLevel="0" collapsed="false">
      <c r="A44" s="9"/>
      <c r="B44" s="9"/>
      <c r="C44" s="9"/>
      <c r="D44" s="9"/>
      <c r="E44" s="14" t="str">
        <f aca="false">IF(OR(C44="",D44=""),"",IF(EXACT(C44,D44),1,0))</f>
        <v/>
      </c>
      <c r="F44" s="9"/>
    </row>
    <row r="45" customFormat="false" ht="15" hidden="false" customHeight="false" outlineLevel="0" collapsed="false">
      <c r="A45" s="9"/>
      <c r="B45" s="9"/>
      <c r="C45" s="9"/>
      <c r="D45" s="9"/>
      <c r="E45" s="14" t="str">
        <f aca="false">IF(OR(C45="",D45=""),"",IF(EXACT(C45,D45),1,0))</f>
        <v/>
      </c>
      <c r="F45" s="9"/>
    </row>
    <row r="46" customFormat="false" ht="15" hidden="false" customHeight="false" outlineLevel="0" collapsed="false">
      <c r="A46" s="9"/>
      <c r="B46" s="9"/>
      <c r="C46" s="9"/>
      <c r="D46" s="9"/>
      <c r="E46" s="14" t="str">
        <f aca="false">IF(OR(C46="",D46=""),"",IF(EXACT(C46,D46),1,0))</f>
        <v/>
      </c>
      <c r="F46" s="9"/>
    </row>
    <row r="47" customFormat="false" ht="15" hidden="false" customHeight="false" outlineLevel="0" collapsed="false">
      <c r="A47" s="9"/>
      <c r="B47" s="9"/>
      <c r="C47" s="9"/>
      <c r="D47" s="9"/>
      <c r="E47" s="14" t="str">
        <f aca="false">IF(OR(C47="",D47=""),"",IF(EXACT(C47,D47),1,0))</f>
        <v/>
      </c>
      <c r="F47" s="9"/>
    </row>
    <row r="48" customFormat="false" ht="15" hidden="false" customHeight="false" outlineLevel="0" collapsed="false">
      <c r="A48" s="9"/>
      <c r="B48" s="9"/>
      <c r="C48" s="9"/>
      <c r="D48" s="9"/>
      <c r="E48" s="14" t="str">
        <f aca="false">IF(OR(C48="",D48=""),"",IF(EXACT(C48,D48),1,0))</f>
        <v/>
      </c>
      <c r="F48" s="9"/>
    </row>
    <row r="49" customFormat="false" ht="15" hidden="false" customHeight="false" outlineLevel="0" collapsed="false">
      <c r="A49" s="9"/>
      <c r="B49" s="9"/>
      <c r="C49" s="9"/>
      <c r="D49" s="9"/>
      <c r="E49" s="14" t="str">
        <f aca="false">IF(OR(C49="",D49=""),"",IF(EXACT(C49,D49),1,0))</f>
        <v/>
      </c>
      <c r="F49" s="9"/>
    </row>
    <row r="50" customFormat="false" ht="15" hidden="false" customHeight="false" outlineLevel="0" collapsed="false">
      <c r="A50" s="9"/>
      <c r="B50" s="9"/>
      <c r="C50" s="9"/>
      <c r="D50" s="9"/>
      <c r="E50" s="14" t="str">
        <f aca="false">IF(OR(C50="",D50=""),"",IF(EXACT(C50,D50),1,0))</f>
        <v/>
      </c>
      <c r="F50" s="9"/>
    </row>
    <row r="51" customFormat="false" ht="15" hidden="false" customHeight="false" outlineLevel="0" collapsed="false">
      <c r="A51" s="9"/>
      <c r="B51" s="9"/>
      <c r="C51" s="9"/>
      <c r="D51" s="9"/>
      <c r="E51" s="14" t="str">
        <f aca="false">IF(OR(C51="",D51=""),"",IF(EXACT(C51,D51),1,0))</f>
        <v/>
      </c>
      <c r="F51" s="9"/>
    </row>
    <row r="52" customFormat="false" ht="15" hidden="false" customHeight="false" outlineLevel="0" collapsed="false">
      <c r="A52" s="9"/>
      <c r="B52" s="9"/>
      <c r="C52" s="9"/>
      <c r="D52" s="9"/>
      <c r="E52" s="14" t="str">
        <f aca="false">IF(OR(C52="",D52=""),"",IF(EXACT(C52,D52),1,0))</f>
        <v/>
      </c>
      <c r="F52" s="9"/>
    </row>
    <row r="53" customFormat="false" ht="15" hidden="false" customHeight="false" outlineLevel="0" collapsed="false">
      <c r="A53" s="9"/>
      <c r="B53" s="9"/>
      <c r="C53" s="9"/>
      <c r="D53" s="9"/>
      <c r="E53" s="14" t="str">
        <f aca="false">IF(OR(C53="",D53=""),"",IF(EXACT(C53,D53),1,0))</f>
        <v/>
      </c>
      <c r="F53" s="9"/>
    </row>
    <row r="54" customFormat="false" ht="15" hidden="false" customHeight="false" outlineLevel="0" collapsed="false">
      <c r="A54" s="9"/>
      <c r="B54" s="9"/>
      <c r="C54" s="9"/>
      <c r="D54" s="9"/>
      <c r="E54" s="14" t="str">
        <f aca="false">IF(OR(C54="",D54=""),"",IF(EXACT(C54,D54),1,0))</f>
        <v/>
      </c>
      <c r="F54" s="9"/>
    </row>
    <row r="55" customFormat="false" ht="15" hidden="false" customHeight="false" outlineLevel="0" collapsed="false">
      <c r="A55" s="9"/>
      <c r="B55" s="9"/>
      <c r="C55" s="9"/>
      <c r="D55" s="9"/>
      <c r="E55" s="14" t="str">
        <f aca="false">IF(OR(C55="",D55=""),"",IF(EXACT(C55,D55),1,0))</f>
        <v/>
      </c>
      <c r="F55" s="9"/>
    </row>
    <row r="56" customFormat="false" ht="15" hidden="false" customHeight="false" outlineLevel="0" collapsed="false">
      <c r="A56" s="9"/>
      <c r="B56" s="9"/>
      <c r="C56" s="9"/>
      <c r="D56" s="9"/>
      <c r="E56" s="14" t="str">
        <f aca="false">IF(OR(C56="",D56=""),"",IF(EXACT(C56,D56),1,0))</f>
        <v/>
      </c>
      <c r="F56" s="9"/>
    </row>
    <row r="57" customFormat="false" ht="15" hidden="false" customHeight="false" outlineLevel="0" collapsed="false">
      <c r="A57" s="9"/>
      <c r="B57" s="9"/>
      <c r="C57" s="9"/>
      <c r="D57" s="9"/>
      <c r="E57" s="14" t="str">
        <f aca="false">IF(OR(C57="",D57=""),"",IF(EXACT(C57,D57),1,0))</f>
        <v/>
      </c>
      <c r="F57" s="9"/>
    </row>
    <row r="58" customFormat="false" ht="15" hidden="false" customHeight="false" outlineLevel="0" collapsed="false">
      <c r="A58" s="9"/>
      <c r="B58" s="9"/>
      <c r="C58" s="9"/>
      <c r="D58" s="9"/>
      <c r="E58" s="14" t="str">
        <f aca="false">IF(OR(C58="",D58=""),"",IF(EXACT(C58,D58),1,0))</f>
        <v/>
      </c>
      <c r="F58" s="9"/>
    </row>
    <row r="59" customFormat="false" ht="15" hidden="false" customHeight="false" outlineLevel="0" collapsed="false">
      <c r="A59" s="9"/>
      <c r="B59" s="9"/>
      <c r="C59" s="9"/>
      <c r="D59" s="9"/>
      <c r="E59" s="14" t="str">
        <f aca="false">IF(OR(C59="",D59=""),"",IF(EXACT(C59,D59),1,0))</f>
        <v/>
      </c>
      <c r="F59" s="9"/>
    </row>
    <row r="60" customFormat="false" ht="15" hidden="false" customHeight="false" outlineLevel="0" collapsed="false">
      <c r="A60" s="9"/>
      <c r="B60" s="9"/>
      <c r="C60" s="9"/>
      <c r="D60" s="9"/>
      <c r="E60" s="14" t="str">
        <f aca="false">IF(OR(C60="",D60=""),"",IF(EXACT(C60,D60),1,0))</f>
        <v/>
      </c>
      <c r="F60" s="9"/>
    </row>
    <row r="61" customFormat="false" ht="15" hidden="false" customHeight="false" outlineLevel="0" collapsed="false">
      <c r="A61" s="9"/>
      <c r="B61" s="9"/>
      <c r="C61" s="9"/>
      <c r="D61" s="9"/>
      <c r="E61" s="14" t="str">
        <f aca="false">IF(OR(C61="",D61=""),"",IF(EXACT(C61,D61),1,0))</f>
        <v/>
      </c>
      <c r="F61" s="9"/>
    </row>
    <row r="62" customFormat="false" ht="15" hidden="false" customHeight="false" outlineLevel="0" collapsed="false">
      <c r="A62" s="9"/>
      <c r="B62" s="9"/>
      <c r="C62" s="9"/>
      <c r="D62" s="9"/>
      <c r="E62" s="14" t="str">
        <f aca="false">IF(OR(C62="",D62=""),"",IF(EXACT(C62,D62),1,0))</f>
        <v/>
      </c>
      <c r="F62" s="9"/>
    </row>
    <row r="63" customFormat="false" ht="15" hidden="false" customHeight="false" outlineLevel="0" collapsed="false">
      <c r="A63" s="9"/>
      <c r="B63" s="9"/>
      <c r="C63" s="9"/>
      <c r="D63" s="9"/>
      <c r="E63" s="14" t="str">
        <f aca="false">IF(OR(C63="",D63=""),"",IF(EXACT(C63,D63),1,0))</f>
        <v/>
      </c>
      <c r="F63" s="9"/>
    </row>
    <row r="64" customFormat="false" ht="15" hidden="false" customHeight="false" outlineLevel="0" collapsed="false">
      <c r="A64" s="9"/>
      <c r="B64" s="9"/>
      <c r="C64" s="9"/>
      <c r="D64" s="9"/>
      <c r="E64" s="14" t="str">
        <f aca="false">IF(OR(C64="",D64=""),"",IF(EXACT(C64,D64),1,0))</f>
        <v/>
      </c>
      <c r="F64" s="9"/>
    </row>
    <row r="65" customFormat="false" ht="15" hidden="false" customHeight="false" outlineLevel="0" collapsed="false">
      <c r="A65" s="9"/>
      <c r="B65" s="9"/>
      <c r="C65" s="9"/>
      <c r="D65" s="9"/>
      <c r="E65" s="14" t="str">
        <f aca="false">IF(OR(C65="",D65=""),"",IF(EXACT(C65,D65),1,0))</f>
        <v/>
      </c>
      <c r="F65" s="9"/>
    </row>
    <row r="66" customFormat="false" ht="15" hidden="false" customHeight="false" outlineLevel="0" collapsed="false">
      <c r="A66" s="9"/>
      <c r="B66" s="9"/>
      <c r="C66" s="9"/>
      <c r="D66" s="9"/>
      <c r="E66" s="14" t="str">
        <f aca="false">IF(OR(C66="",D66=""),"",IF(EXACT(C66,D66),1,0))</f>
        <v/>
      </c>
      <c r="F66" s="9"/>
    </row>
    <row r="67" customFormat="false" ht="15" hidden="false" customHeight="false" outlineLevel="0" collapsed="false">
      <c r="A67" s="9"/>
      <c r="B67" s="9"/>
      <c r="C67" s="9"/>
      <c r="D67" s="9"/>
      <c r="E67" s="14" t="str">
        <f aca="false">IF(OR(C67="",D67=""),"",IF(EXACT(C67,D67),1,0))</f>
        <v/>
      </c>
      <c r="F67" s="9"/>
    </row>
    <row r="68" customFormat="false" ht="15" hidden="false" customHeight="false" outlineLevel="0" collapsed="false">
      <c r="A68" s="9"/>
      <c r="B68" s="9"/>
      <c r="C68" s="9"/>
      <c r="D68" s="9"/>
      <c r="E68" s="14" t="str">
        <f aca="false">IF(OR(C68="",D68=""),"",IF(EXACT(C68,D68),1,0))</f>
        <v/>
      </c>
      <c r="F68" s="9"/>
    </row>
    <row r="69" customFormat="false" ht="15" hidden="false" customHeight="false" outlineLevel="0" collapsed="false">
      <c r="A69" s="9"/>
      <c r="B69" s="9"/>
      <c r="C69" s="9"/>
      <c r="D69" s="9"/>
      <c r="E69" s="14" t="str">
        <f aca="false">IF(OR(C69="",D69=""),"",IF(EXACT(C69,D69),1,0))</f>
        <v/>
      </c>
      <c r="F69" s="9"/>
    </row>
    <row r="70" customFormat="false" ht="15" hidden="false" customHeight="false" outlineLevel="0" collapsed="false">
      <c r="A70" s="9"/>
      <c r="B70" s="9"/>
      <c r="C70" s="9"/>
      <c r="D70" s="9"/>
      <c r="E70" s="14" t="str">
        <f aca="false">IF(OR(C70="",D70=""),"",IF(EXACT(C70,D70),1,0))</f>
        <v/>
      </c>
      <c r="F70" s="9"/>
    </row>
    <row r="71" customFormat="false" ht="15" hidden="false" customHeight="false" outlineLevel="0" collapsed="false">
      <c r="A71" s="9"/>
      <c r="B71" s="9"/>
      <c r="C71" s="9"/>
      <c r="D71" s="9"/>
      <c r="E71" s="14" t="str">
        <f aca="false">IF(OR(C71="",D71=""),"",IF(EXACT(C71,D71),1,0))</f>
        <v/>
      </c>
      <c r="F71" s="9"/>
    </row>
    <row r="72" customFormat="false" ht="15" hidden="false" customHeight="false" outlineLevel="0" collapsed="false">
      <c r="A72" s="9"/>
      <c r="B72" s="9"/>
      <c r="C72" s="9"/>
      <c r="D72" s="9"/>
      <c r="E72" s="14" t="str">
        <f aca="false">IF(OR(C72="",D72=""),"",IF(EXACT(C72,D72),1,0))</f>
        <v/>
      </c>
      <c r="F72" s="9"/>
    </row>
    <row r="73" customFormat="false" ht="15" hidden="false" customHeight="false" outlineLevel="0" collapsed="false">
      <c r="A73" s="9"/>
      <c r="B73" s="9"/>
      <c r="C73" s="9"/>
      <c r="D73" s="9"/>
      <c r="E73" s="14" t="str">
        <f aca="false">IF(OR(C73="",D73=""),"",IF(EXACT(C73,D73),1,0))</f>
        <v/>
      </c>
      <c r="F73" s="9"/>
    </row>
    <row r="74" customFormat="false" ht="15" hidden="false" customHeight="false" outlineLevel="0" collapsed="false">
      <c r="A74" s="9"/>
      <c r="B74" s="9"/>
      <c r="C74" s="9"/>
      <c r="D74" s="9"/>
      <c r="E74" s="14" t="str">
        <f aca="false">IF(OR(C74="",D74=""),"",IF(EXACT(C74,D74),1,0))</f>
        <v/>
      </c>
      <c r="F74" s="9"/>
    </row>
    <row r="75" customFormat="false" ht="15" hidden="false" customHeight="false" outlineLevel="0" collapsed="false">
      <c r="A75" s="9"/>
      <c r="B75" s="9"/>
      <c r="C75" s="9"/>
      <c r="D75" s="9"/>
      <c r="E75" s="14" t="str">
        <f aca="false">IF(OR(C75="",D75=""),"",IF(EXACT(C75,D75),1,0))</f>
        <v/>
      </c>
      <c r="F75" s="9"/>
    </row>
    <row r="76" customFormat="false" ht="15" hidden="false" customHeight="false" outlineLevel="0" collapsed="false">
      <c r="A76" s="9"/>
      <c r="B76" s="9"/>
      <c r="C76" s="9"/>
      <c r="D76" s="9"/>
      <c r="E76" s="14" t="str">
        <f aca="false">IF(OR(C76="",D76=""),"",IF(EXACT(C76,D76),1,0))</f>
        <v/>
      </c>
      <c r="F76" s="9"/>
    </row>
    <row r="77" customFormat="false" ht="15" hidden="false" customHeight="false" outlineLevel="0" collapsed="false">
      <c r="A77" s="9"/>
      <c r="B77" s="9"/>
      <c r="C77" s="9"/>
      <c r="D77" s="9"/>
      <c r="E77" s="14" t="str">
        <f aca="false">IF(OR(C77="",D77=""),"",IF(EXACT(C77,D77),1,0))</f>
        <v/>
      </c>
      <c r="F77" s="9"/>
    </row>
    <row r="78" customFormat="false" ht="15" hidden="false" customHeight="false" outlineLevel="0" collapsed="false">
      <c r="A78" s="9"/>
      <c r="B78" s="9"/>
      <c r="C78" s="9"/>
      <c r="D78" s="9"/>
      <c r="E78" s="14" t="str">
        <f aca="false">IF(OR(C78="",D78=""),"",IF(EXACT(C78,D78),1,0))</f>
        <v/>
      </c>
      <c r="F78" s="9"/>
    </row>
    <row r="79" customFormat="false" ht="15" hidden="false" customHeight="false" outlineLevel="0" collapsed="false">
      <c r="A79" s="9"/>
      <c r="B79" s="9"/>
      <c r="C79" s="9"/>
      <c r="D79" s="9"/>
      <c r="E79" s="14" t="str">
        <f aca="false">IF(OR(C79="",D79=""),"",IF(EXACT(C79,D79),1,0))</f>
        <v/>
      </c>
      <c r="F79" s="9"/>
    </row>
    <row r="80" customFormat="false" ht="15" hidden="false" customHeight="false" outlineLevel="0" collapsed="false">
      <c r="A80" s="9"/>
      <c r="B80" s="9"/>
      <c r="C80" s="9"/>
      <c r="D80" s="9"/>
      <c r="E80" s="14" t="str">
        <f aca="false">IF(OR(C80="",D80=""),"",IF(EXACT(C80,D80),1,0))</f>
        <v/>
      </c>
      <c r="F80" s="9"/>
    </row>
    <row r="81" customFormat="false" ht="15" hidden="false" customHeight="false" outlineLevel="0" collapsed="false">
      <c r="A81" s="9"/>
      <c r="B81" s="9"/>
      <c r="C81" s="9"/>
      <c r="D81" s="9"/>
      <c r="E81" s="14" t="str">
        <f aca="false">IF(OR(C81="",D81=""),"",IF(EXACT(C81,D81),1,0))</f>
        <v/>
      </c>
      <c r="F81" s="9"/>
    </row>
    <row r="82" customFormat="false" ht="15" hidden="false" customHeight="false" outlineLevel="0" collapsed="false">
      <c r="A82" s="9"/>
      <c r="B82" s="9"/>
      <c r="C82" s="9"/>
      <c r="D82" s="9"/>
      <c r="E82" s="14" t="str">
        <f aca="false">IF(OR(C82="",D82=""),"",IF(EXACT(C82,D82),1,0))</f>
        <v/>
      </c>
      <c r="F82" s="9"/>
    </row>
    <row r="83" customFormat="false" ht="15" hidden="false" customHeight="false" outlineLevel="0" collapsed="false">
      <c r="A83" s="9"/>
      <c r="B83" s="9"/>
      <c r="C83" s="9"/>
      <c r="D83" s="9"/>
      <c r="E83" s="14" t="str">
        <f aca="false">IF(OR(C83="",D83=""),"",IF(EXACT(C83,D83),1,0))</f>
        <v/>
      </c>
      <c r="F83" s="9"/>
    </row>
    <row r="84" customFormat="false" ht="15" hidden="false" customHeight="false" outlineLevel="0" collapsed="false">
      <c r="A84" s="9"/>
      <c r="B84" s="9"/>
      <c r="C84" s="9"/>
      <c r="D84" s="9"/>
      <c r="E84" s="14" t="str">
        <f aca="false">IF(OR(C84="",D84=""),"",IF(EXACT(C84,D84),1,0))</f>
        <v/>
      </c>
      <c r="F84" s="9"/>
    </row>
    <row r="85" customFormat="false" ht="15" hidden="false" customHeight="false" outlineLevel="0" collapsed="false">
      <c r="A85" s="9"/>
      <c r="B85" s="9"/>
      <c r="C85" s="9"/>
      <c r="D85" s="9"/>
      <c r="E85" s="14" t="str">
        <f aca="false">IF(OR(C85="",D85=""),"",IF(EXACT(C85,D85),1,0))</f>
        <v/>
      </c>
      <c r="F85" s="9"/>
    </row>
    <row r="86" customFormat="false" ht="15" hidden="false" customHeight="false" outlineLevel="0" collapsed="false">
      <c r="A86" s="9"/>
      <c r="B86" s="9"/>
      <c r="C86" s="9"/>
      <c r="D86" s="9"/>
      <c r="E86" s="14" t="str">
        <f aca="false">IF(OR(C86="",D86=""),"",IF(EXACT(C86,D86),1,0))</f>
        <v/>
      </c>
      <c r="F86" s="9"/>
    </row>
    <row r="87" customFormat="false" ht="15" hidden="false" customHeight="false" outlineLevel="0" collapsed="false">
      <c r="A87" s="9"/>
      <c r="B87" s="9"/>
      <c r="C87" s="9"/>
      <c r="D87" s="9"/>
      <c r="E87" s="14" t="str">
        <f aca="false">IF(OR(C87="",D87=""),"",IF(EXACT(C87,D87),1,0))</f>
        <v/>
      </c>
      <c r="F87" s="9"/>
    </row>
    <row r="88" customFormat="false" ht="15" hidden="false" customHeight="false" outlineLevel="0" collapsed="false">
      <c r="A88" s="9"/>
      <c r="B88" s="9"/>
      <c r="C88" s="9"/>
      <c r="D88" s="9"/>
      <c r="E88" s="14" t="str">
        <f aca="false">IF(OR(C88="",D88=""),"",IF(EXACT(C88,D88),1,0))</f>
        <v/>
      </c>
      <c r="F88" s="9"/>
    </row>
    <row r="89" customFormat="false" ht="15" hidden="false" customHeight="false" outlineLevel="0" collapsed="false">
      <c r="A89" s="9"/>
      <c r="B89" s="9"/>
      <c r="C89" s="9"/>
      <c r="D89" s="9"/>
      <c r="E89" s="14" t="str">
        <f aca="false">IF(OR(C89="",D89=""),"",IF(EXACT(C89,D89),1,0))</f>
        <v/>
      </c>
      <c r="F89" s="9"/>
    </row>
    <row r="90" customFormat="false" ht="15" hidden="false" customHeight="false" outlineLevel="0" collapsed="false">
      <c r="A90" s="9"/>
      <c r="B90" s="9"/>
      <c r="C90" s="9"/>
      <c r="D90" s="9"/>
      <c r="E90" s="14" t="str">
        <f aca="false">IF(OR(C90="",D90=""),"",IF(EXACT(C90,D90),1,0))</f>
        <v/>
      </c>
      <c r="F90" s="9"/>
    </row>
    <row r="91" customFormat="false" ht="15" hidden="false" customHeight="false" outlineLevel="0" collapsed="false">
      <c r="A91" s="9"/>
      <c r="B91" s="9"/>
      <c r="C91" s="9"/>
      <c r="D91" s="9"/>
      <c r="E91" s="14" t="str">
        <f aca="false">IF(OR(C91="",D91=""),"",IF(EXACT(C91,D91),1,0))</f>
        <v/>
      </c>
      <c r="F91" s="9"/>
    </row>
    <row r="92" customFormat="false" ht="15" hidden="false" customHeight="false" outlineLevel="0" collapsed="false">
      <c r="A92" s="9"/>
      <c r="B92" s="9"/>
      <c r="C92" s="9"/>
      <c r="D92" s="9"/>
      <c r="E92" s="14" t="str">
        <f aca="false">IF(OR(C92="",D92=""),"",IF(EXACT(C92,D92),1,0))</f>
        <v/>
      </c>
      <c r="F92" s="9"/>
    </row>
    <row r="93" customFormat="false" ht="15" hidden="false" customHeight="false" outlineLevel="0" collapsed="false">
      <c r="A93" s="9"/>
      <c r="B93" s="9"/>
      <c r="C93" s="9"/>
      <c r="D93" s="9"/>
      <c r="E93" s="14" t="str">
        <f aca="false">IF(OR(C93="",D93=""),"",IF(EXACT(C93,D93),1,0))</f>
        <v/>
      </c>
      <c r="F93" s="9"/>
    </row>
    <row r="94" customFormat="false" ht="15" hidden="false" customHeight="false" outlineLevel="0" collapsed="false">
      <c r="A94" s="9"/>
      <c r="B94" s="9"/>
      <c r="C94" s="9"/>
      <c r="D94" s="9"/>
      <c r="E94" s="14" t="str">
        <f aca="false">IF(OR(C94="",D94=""),"",IF(EXACT(C94,D94),1,0))</f>
        <v/>
      </c>
      <c r="F94" s="9"/>
    </row>
    <row r="95" customFormat="false" ht="15" hidden="false" customHeight="false" outlineLevel="0" collapsed="false">
      <c r="A95" s="9"/>
      <c r="B95" s="9"/>
      <c r="C95" s="9"/>
      <c r="D95" s="9"/>
      <c r="E95" s="14" t="str">
        <f aca="false">IF(OR(C95="",D95=""),"",IF(EXACT(C95,D95),1,0))</f>
        <v/>
      </c>
      <c r="F95" s="9"/>
    </row>
    <row r="96" customFormat="false" ht="15" hidden="false" customHeight="false" outlineLevel="0" collapsed="false">
      <c r="A96" s="9"/>
      <c r="B96" s="9"/>
      <c r="C96" s="9"/>
      <c r="D96" s="9"/>
      <c r="E96" s="14" t="str">
        <f aca="false">IF(OR(C96="",D96=""),"",IF(EXACT(C96,D96),1,0))</f>
        <v/>
      </c>
      <c r="F96" s="9"/>
    </row>
    <row r="97" customFormat="false" ht="15" hidden="false" customHeight="false" outlineLevel="0" collapsed="false">
      <c r="A97" s="9"/>
      <c r="B97" s="9"/>
      <c r="C97" s="9"/>
      <c r="D97" s="9"/>
      <c r="E97" s="14" t="str">
        <f aca="false">IF(OR(C97="",D97=""),"",IF(EXACT(C97,D97),1,0))</f>
        <v/>
      </c>
      <c r="F97" s="9"/>
    </row>
    <row r="98" customFormat="false" ht="15" hidden="false" customHeight="false" outlineLevel="0" collapsed="false">
      <c r="A98" s="9"/>
      <c r="B98" s="9"/>
      <c r="C98" s="9"/>
      <c r="D98" s="9"/>
      <c r="E98" s="14" t="str">
        <f aca="false">IF(OR(C98="",D98=""),"",IF(EXACT(C98,D98),1,0))</f>
        <v/>
      </c>
      <c r="F98" s="9"/>
    </row>
    <row r="99" customFormat="false" ht="15" hidden="false" customHeight="false" outlineLevel="0" collapsed="false">
      <c r="A99" s="9"/>
      <c r="B99" s="9"/>
      <c r="C99" s="9"/>
      <c r="D99" s="9"/>
      <c r="E99" s="14" t="str">
        <f aca="false">IF(OR(C99="",D99=""),"",IF(EXACT(C99,D99),1,0))</f>
        <v/>
      </c>
      <c r="F99" s="9"/>
    </row>
    <row r="100" customFormat="false" ht="15" hidden="false" customHeight="false" outlineLevel="0" collapsed="false">
      <c r="A100" s="9"/>
      <c r="B100" s="9"/>
      <c r="C100" s="9"/>
      <c r="D100" s="9"/>
      <c r="E100" s="14" t="str">
        <f aca="false">IF(OR(C100="",D100=""),"",IF(EXACT(C100,D100),1,0))</f>
        <v/>
      </c>
      <c r="F100" s="9"/>
    </row>
    <row r="101" customFormat="false" ht="15" hidden="false" customHeight="false" outlineLevel="0" collapsed="false">
      <c r="A101" s="9"/>
      <c r="B101" s="9"/>
      <c r="C101" s="9"/>
      <c r="D101" s="9"/>
      <c r="E101" s="14" t="str">
        <f aca="false">IF(OR(C101="",D101=""),"",IF(EXACT(C101,D101),1,0))</f>
        <v/>
      </c>
      <c r="F101" s="9"/>
    </row>
    <row r="102" customFormat="false" ht="15" hidden="false" customHeight="false" outlineLevel="0" collapsed="false">
      <c r="A102" s="9"/>
      <c r="B102" s="9"/>
      <c r="C102" s="9"/>
      <c r="D102" s="9"/>
      <c r="E102" s="14" t="str">
        <f aca="false">IF(OR(C102="",D102=""),"",IF(EXACT(C102,D102),1,0))</f>
        <v/>
      </c>
      <c r="F102" s="9"/>
    </row>
    <row r="103" customFormat="false" ht="15" hidden="false" customHeight="false" outlineLevel="0" collapsed="false">
      <c r="A103" s="9"/>
      <c r="B103" s="9"/>
      <c r="C103" s="9"/>
      <c r="D103" s="9"/>
      <c r="E103" s="14" t="str">
        <f aca="false">IF(OR(C103="",D103=""),"",IF(EXACT(C103,D103),1,0))</f>
        <v/>
      </c>
      <c r="F103" s="9"/>
    </row>
    <row r="104" customFormat="false" ht="15" hidden="false" customHeight="false" outlineLevel="0" collapsed="false">
      <c r="A104" s="9"/>
      <c r="B104" s="9"/>
      <c r="C104" s="9"/>
      <c r="D104" s="9"/>
      <c r="E104" s="14" t="str">
        <f aca="false">IF(OR(C104="",D104=""),"",IF(EXACT(C104,D104),1,0))</f>
        <v/>
      </c>
      <c r="F104" s="9"/>
    </row>
    <row r="105" customFormat="false" ht="15" hidden="false" customHeight="false" outlineLevel="0" collapsed="false">
      <c r="A105" s="9"/>
      <c r="B105" s="9"/>
      <c r="C105" s="9"/>
      <c r="D105" s="9"/>
      <c r="E105" s="14" t="str">
        <f aca="false">IF(OR(C105="",D105=""),"",IF(EXACT(C105,D105),1,0))</f>
        <v/>
      </c>
      <c r="F105" s="9"/>
    </row>
    <row r="106" customFormat="false" ht="15" hidden="false" customHeight="false" outlineLevel="0" collapsed="false">
      <c r="A106" s="9"/>
      <c r="B106" s="9"/>
      <c r="C106" s="9"/>
      <c r="D106" s="9"/>
      <c r="E106" s="14" t="str">
        <f aca="false">IF(OR(C106="",D106=""),"",IF(EXACT(C106,D106),1,0))</f>
        <v/>
      </c>
      <c r="F106" s="9"/>
    </row>
    <row r="107" customFormat="false" ht="15" hidden="false" customHeight="false" outlineLevel="0" collapsed="false">
      <c r="A107" s="9"/>
      <c r="B107" s="9"/>
      <c r="C107" s="9"/>
      <c r="D107" s="9"/>
      <c r="E107" s="14" t="str">
        <f aca="false">IF(OR(C107="",D107=""),"",IF(EXACT(C107,D107),1,0))</f>
        <v/>
      </c>
      <c r="F107" s="9"/>
    </row>
    <row r="108" customFormat="false" ht="15" hidden="false" customHeight="false" outlineLevel="0" collapsed="false">
      <c r="A108" s="9"/>
      <c r="B108" s="9"/>
      <c r="C108" s="9"/>
      <c r="D108" s="9"/>
      <c r="E108" s="14" t="str">
        <f aca="false">IF(OR(C108="",D108=""),"",IF(EXACT(C108,D108),1,0))</f>
        <v/>
      </c>
      <c r="F108" s="9"/>
    </row>
    <row r="109" customFormat="false" ht="15" hidden="false" customHeight="false" outlineLevel="0" collapsed="false">
      <c r="A109" s="9"/>
      <c r="B109" s="9"/>
      <c r="C109" s="9"/>
      <c r="D109" s="9"/>
      <c r="E109" s="14" t="str">
        <f aca="false">IF(OR(C109="",D109=""),"",IF(EXACT(C109,D109),1,0))</f>
        <v/>
      </c>
      <c r="F109" s="9"/>
    </row>
    <row r="110" customFormat="false" ht="15" hidden="false" customHeight="false" outlineLevel="0" collapsed="false">
      <c r="A110" s="9"/>
      <c r="B110" s="9"/>
      <c r="C110" s="9"/>
      <c r="D110" s="9"/>
      <c r="E110" s="14" t="str">
        <f aca="false">IF(OR(C110="",D110=""),"",IF(EXACT(C110,D110),1,0))</f>
        <v/>
      </c>
      <c r="F110" s="9"/>
    </row>
    <row r="111" customFormat="false" ht="15" hidden="false" customHeight="false" outlineLevel="0" collapsed="false">
      <c r="A111" s="9"/>
      <c r="B111" s="9"/>
      <c r="C111" s="9"/>
      <c r="D111" s="9"/>
      <c r="E111" s="14" t="str">
        <f aca="false">IF(OR(C111="",D111=""),"",IF(EXACT(C111,D111),1,0))</f>
        <v/>
      </c>
      <c r="F111" s="9"/>
    </row>
    <row r="112" customFormat="false" ht="15" hidden="false" customHeight="false" outlineLevel="0" collapsed="false">
      <c r="A112" s="9"/>
      <c r="B112" s="9"/>
      <c r="C112" s="9"/>
      <c r="D112" s="9"/>
      <c r="E112" s="14" t="str">
        <f aca="false">IF(OR(C112="",D112=""),"",IF(EXACT(C112,D112),1,0))</f>
        <v/>
      </c>
      <c r="F112" s="9"/>
    </row>
    <row r="113" customFormat="false" ht="15" hidden="false" customHeight="false" outlineLevel="0" collapsed="false">
      <c r="A113" s="9"/>
      <c r="B113" s="9"/>
      <c r="C113" s="9"/>
      <c r="D113" s="9"/>
      <c r="E113" s="14" t="str">
        <f aca="false">IF(OR(C113="",D113=""),"",IF(EXACT(C113,D113),1,0))</f>
        <v/>
      </c>
      <c r="F113" s="9"/>
    </row>
    <row r="114" customFormat="false" ht="15" hidden="false" customHeight="false" outlineLevel="0" collapsed="false">
      <c r="A114" s="9"/>
      <c r="B114" s="9"/>
      <c r="C114" s="9"/>
      <c r="D114" s="9"/>
      <c r="E114" s="14" t="str">
        <f aca="false">IF(OR(C114="",D114=""),"",IF(EXACT(C114,D114),1,0))</f>
        <v/>
      </c>
      <c r="F114" s="9"/>
    </row>
    <row r="115" customFormat="false" ht="15" hidden="false" customHeight="false" outlineLevel="0" collapsed="false">
      <c r="A115" s="9"/>
      <c r="B115" s="9"/>
      <c r="C115" s="9"/>
      <c r="D115" s="9"/>
      <c r="E115" s="14" t="str">
        <f aca="false">IF(OR(C115="",D115=""),"",IF(EXACT(C115,D115),1,0))</f>
        <v/>
      </c>
      <c r="F115" s="9"/>
    </row>
    <row r="116" customFormat="false" ht="15" hidden="false" customHeight="false" outlineLevel="0" collapsed="false">
      <c r="A116" s="9"/>
      <c r="B116" s="9"/>
      <c r="C116" s="9"/>
      <c r="D116" s="9"/>
      <c r="E116" s="14" t="str">
        <f aca="false">IF(OR(C116="",D116=""),"",IF(EXACT(C116,D116),1,0))</f>
        <v/>
      </c>
      <c r="F116" s="9"/>
    </row>
    <row r="117" customFormat="false" ht="15" hidden="false" customHeight="false" outlineLevel="0" collapsed="false">
      <c r="A117" s="9"/>
      <c r="B117" s="9"/>
      <c r="C117" s="9"/>
      <c r="D117" s="9"/>
      <c r="E117" s="14" t="str">
        <f aca="false">IF(OR(C117="",D117=""),"",IF(EXACT(C117,D117),1,0))</f>
        <v/>
      </c>
      <c r="F117" s="9"/>
    </row>
    <row r="118" customFormat="false" ht="15" hidden="false" customHeight="false" outlineLevel="0" collapsed="false">
      <c r="A118" s="9"/>
      <c r="B118" s="9"/>
      <c r="C118" s="9"/>
      <c r="D118" s="9"/>
      <c r="E118" s="14" t="str">
        <f aca="false">IF(OR(C118="",D118=""),"",IF(EXACT(C118,D118),1,0))</f>
        <v/>
      </c>
      <c r="F118" s="9"/>
    </row>
    <row r="119" customFormat="false" ht="15" hidden="false" customHeight="false" outlineLevel="0" collapsed="false">
      <c r="A119" s="9"/>
      <c r="B119" s="9"/>
      <c r="C119" s="9"/>
      <c r="D119" s="9"/>
      <c r="E119" s="14" t="str">
        <f aca="false">IF(OR(C119="",D119=""),"",IF(EXACT(C119,D119),1,0))</f>
        <v/>
      </c>
      <c r="F119" s="9"/>
    </row>
    <row r="120" customFormat="false" ht="15" hidden="false" customHeight="false" outlineLevel="0" collapsed="false">
      <c r="A120" s="9"/>
      <c r="B120" s="9"/>
      <c r="C120" s="9"/>
      <c r="D120" s="9"/>
      <c r="E120" s="14" t="str">
        <f aca="false">IF(OR(C120="",D120=""),"",IF(EXACT(C120,D120),1,0))</f>
        <v/>
      </c>
      <c r="F120" s="9"/>
    </row>
    <row r="121" customFormat="false" ht="15" hidden="false" customHeight="false" outlineLevel="0" collapsed="false">
      <c r="A121" s="9"/>
      <c r="B121" s="9"/>
      <c r="C121" s="9"/>
      <c r="D121" s="9"/>
      <c r="E121" s="14" t="str">
        <f aca="false">IF(OR(C121="",D121=""),"",IF(EXACT(C121,D121),1,0))</f>
        <v/>
      </c>
      <c r="F121" s="9"/>
    </row>
    <row r="122" customFormat="false" ht="15" hidden="false" customHeight="false" outlineLevel="0" collapsed="false">
      <c r="A122" s="9"/>
      <c r="B122" s="9"/>
      <c r="C122" s="9"/>
      <c r="D122" s="9"/>
      <c r="E122" s="14" t="str">
        <f aca="false">IF(OR(C122="",D122=""),"",IF(EXACT(C122,D122),1,0))</f>
        <v/>
      </c>
      <c r="F122" s="9"/>
    </row>
    <row r="123" customFormat="false" ht="15" hidden="false" customHeight="false" outlineLevel="0" collapsed="false">
      <c r="A123" s="9"/>
      <c r="B123" s="9"/>
      <c r="C123" s="9"/>
      <c r="D123" s="9"/>
      <c r="E123" s="14" t="str">
        <f aca="false">IF(OR(C123="",D123=""),"",IF(EXACT(C123,D123),1,0))</f>
        <v/>
      </c>
      <c r="F123" s="9"/>
    </row>
    <row r="124" customFormat="false" ht="15" hidden="false" customHeight="false" outlineLevel="0" collapsed="false">
      <c r="A124" s="9"/>
      <c r="B124" s="9"/>
      <c r="C124" s="9"/>
      <c r="D124" s="9"/>
      <c r="E124" s="14" t="str">
        <f aca="false">IF(OR(C124="",D124=""),"",IF(EXACT(C124,D124),1,0))</f>
        <v/>
      </c>
      <c r="F124" s="9"/>
    </row>
    <row r="125" customFormat="false" ht="15" hidden="false" customHeight="false" outlineLevel="0" collapsed="false">
      <c r="A125" s="9"/>
      <c r="B125" s="9"/>
      <c r="C125" s="9"/>
      <c r="D125" s="9"/>
      <c r="E125" s="14" t="str">
        <f aca="false">IF(OR(C125="",D125=""),"",IF(EXACT(C125,D125),1,0))</f>
        <v/>
      </c>
      <c r="F125" s="9"/>
    </row>
    <row r="126" customFormat="false" ht="15" hidden="false" customHeight="false" outlineLevel="0" collapsed="false">
      <c r="A126" s="9"/>
      <c r="B126" s="9"/>
      <c r="C126" s="9"/>
      <c r="D126" s="9"/>
      <c r="E126" s="14" t="str">
        <f aca="false">IF(OR(C126="",D126=""),"",IF(EXACT(C126,D126),1,0))</f>
        <v/>
      </c>
      <c r="F126" s="9"/>
    </row>
    <row r="127" customFormat="false" ht="15" hidden="false" customHeight="false" outlineLevel="0" collapsed="false">
      <c r="A127" s="9"/>
      <c r="B127" s="9"/>
      <c r="C127" s="9"/>
      <c r="D127" s="9"/>
      <c r="E127" s="14" t="str">
        <f aca="false">IF(OR(C127="",D127=""),"",IF(EXACT(C127,D127),1,0))</f>
        <v/>
      </c>
      <c r="F127" s="9"/>
    </row>
    <row r="128" customFormat="false" ht="15" hidden="false" customHeight="false" outlineLevel="0" collapsed="false">
      <c r="A128" s="9"/>
      <c r="B128" s="9"/>
      <c r="C128" s="9"/>
      <c r="D128" s="9"/>
      <c r="E128" s="14" t="str">
        <f aca="false">IF(OR(C128="",D128=""),"",IF(EXACT(C128,D128),1,0))</f>
        <v/>
      </c>
      <c r="F128" s="9"/>
    </row>
    <row r="129" customFormat="false" ht="15" hidden="false" customHeight="false" outlineLevel="0" collapsed="false">
      <c r="A129" s="9"/>
      <c r="B129" s="9"/>
      <c r="C129" s="9"/>
      <c r="D129" s="9"/>
      <c r="E129" s="14" t="str">
        <f aca="false">IF(OR(C129="",D129=""),"",IF(EXACT(C129,D129),1,0))</f>
        <v/>
      </c>
      <c r="F129" s="9"/>
    </row>
    <row r="130" customFormat="false" ht="15" hidden="false" customHeight="false" outlineLevel="0" collapsed="false">
      <c r="A130" s="9"/>
      <c r="B130" s="9"/>
      <c r="C130" s="9"/>
      <c r="D130" s="9"/>
      <c r="E130" s="14" t="str">
        <f aca="false">IF(OR(C130="",D130=""),"",IF(EXACT(C130,D130),1,0))</f>
        <v/>
      </c>
      <c r="F130" s="9"/>
    </row>
    <row r="131" customFormat="false" ht="15" hidden="false" customHeight="false" outlineLevel="0" collapsed="false">
      <c r="A131" s="9"/>
      <c r="B131" s="9"/>
      <c r="C131" s="9"/>
      <c r="D131" s="9"/>
      <c r="E131" s="14" t="str">
        <f aca="false">IF(OR(C131="",D131=""),"",IF(EXACT(C131,D131),1,0))</f>
        <v/>
      </c>
      <c r="F131" s="9"/>
    </row>
    <row r="132" customFormat="false" ht="15" hidden="false" customHeight="false" outlineLevel="0" collapsed="false">
      <c r="A132" s="9"/>
      <c r="B132" s="9"/>
      <c r="C132" s="9"/>
      <c r="D132" s="9"/>
      <c r="E132" s="14" t="str">
        <f aca="false">IF(OR(C132="",D132=""),"",IF(EXACT(C132,D132),1,0))</f>
        <v/>
      </c>
      <c r="F132" s="9"/>
    </row>
    <row r="133" customFormat="false" ht="15" hidden="false" customHeight="false" outlineLevel="0" collapsed="false">
      <c r="A133" s="9"/>
      <c r="B133" s="9"/>
      <c r="C133" s="9"/>
      <c r="D133" s="9"/>
      <c r="E133" s="14" t="str">
        <f aca="false">IF(OR(C133="",D133=""),"",IF(EXACT(C133,D133),1,0))</f>
        <v/>
      </c>
      <c r="F133" s="9"/>
    </row>
    <row r="134" customFormat="false" ht="15" hidden="false" customHeight="false" outlineLevel="0" collapsed="false">
      <c r="A134" s="9"/>
      <c r="B134" s="9"/>
      <c r="C134" s="9"/>
      <c r="D134" s="9"/>
      <c r="E134" s="14" t="str">
        <f aca="false">IF(OR(C134="",D134=""),"",IF(EXACT(C134,D134),1,0))</f>
        <v/>
      </c>
      <c r="F134" s="9"/>
    </row>
    <row r="135" customFormat="false" ht="15" hidden="false" customHeight="false" outlineLevel="0" collapsed="false">
      <c r="A135" s="9"/>
      <c r="B135" s="9"/>
      <c r="C135" s="9"/>
      <c r="D135" s="9"/>
      <c r="E135" s="14" t="str">
        <f aca="false">IF(OR(C135="",D135=""),"",IF(EXACT(C135,D135),1,0))</f>
        <v/>
      </c>
      <c r="F135" s="9"/>
    </row>
    <row r="136" customFormat="false" ht="15" hidden="false" customHeight="false" outlineLevel="0" collapsed="false">
      <c r="A136" s="9"/>
      <c r="B136" s="9"/>
      <c r="C136" s="9"/>
      <c r="D136" s="9"/>
      <c r="E136" s="14" t="str">
        <f aca="false">IF(OR(C136="",D136=""),"",IF(EXACT(C136,D136),1,0))</f>
        <v/>
      </c>
      <c r="F136" s="9"/>
    </row>
    <row r="137" customFormat="false" ht="15" hidden="false" customHeight="false" outlineLevel="0" collapsed="false">
      <c r="A137" s="9"/>
      <c r="B137" s="9"/>
      <c r="C137" s="9"/>
      <c r="D137" s="9"/>
      <c r="E137" s="14" t="str">
        <f aca="false">IF(OR(C137="",D137=""),"",IF(EXACT(C137,D137),1,0))</f>
        <v/>
      </c>
      <c r="F137" s="9"/>
    </row>
    <row r="138" customFormat="false" ht="15" hidden="false" customHeight="false" outlineLevel="0" collapsed="false">
      <c r="A138" s="9"/>
      <c r="B138" s="9"/>
      <c r="C138" s="9"/>
      <c r="D138" s="9"/>
      <c r="E138" s="14" t="str">
        <f aca="false">IF(OR(C138="",D138=""),"",IF(EXACT(C138,D138),1,0))</f>
        <v/>
      </c>
      <c r="F138" s="9"/>
    </row>
    <row r="139" customFormat="false" ht="15" hidden="false" customHeight="false" outlineLevel="0" collapsed="false">
      <c r="A139" s="9"/>
      <c r="B139" s="9"/>
      <c r="C139" s="9"/>
      <c r="D139" s="9"/>
      <c r="E139" s="14" t="str">
        <f aca="false">IF(OR(C139="",D139=""),"",IF(EXACT(C139,D139),1,0))</f>
        <v/>
      </c>
      <c r="F139" s="9"/>
    </row>
    <row r="140" customFormat="false" ht="15" hidden="false" customHeight="false" outlineLevel="0" collapsed="false">
      <c r="A140" s="9"/>
      <c r="B140" s="9"/>
      <c r="C140" s="9"/>
      <c r="D140" s="9"/>
      <c r="E140" s="14" t="str">
        <f aca="false">IF(OR(C140="",D140=""),"",IF(EXACT(C140,D140),1,0))</f>
        <v/>
      </c>
      <c r="F140" s="9"/>
    </row>
    <row r="141" customFormat="false" ht="15" hidden="false" customHeight="false" outlineLevel="0" collapsed="false">
      <c r="A141" s="9"/>
      <c r="B141" s="9"/>
      <c r="C141" s="9"/>
      <c r="D141" s="9"/>
      <c r="E141" s="14" t="str">
        <f aca="false">IF(OR(C141="",D141=""),"",IF(EXACT(C141,D141),1,0))</f>
        <v/>
      </c>
      <c r="F141" s="9"/>
    </row>
    <row r="142" customFormat="false" ht="15" hidden="false" customHeight="false" outlineLevel="0" collapsed="false">
      <c r="A142" s="9"/>
      <c r="B142" s="9"/>
      <c r="C142" s="9"/>
      <c r="D142" s="9"/>
      <c r="E142" s="14" t="str">
        <f aca="false">IF(OR(C142="",D142=""),"",IF(EXACT(C142,D142),1,0))</f>
        <v/>
      </c>
      <c r="F142" s="9"/>
    </row>
    <row r="143" customFormat="false" ht="15" hidden="false" customHeight="false" outlineLevel="0" collapsed="false">
      <c r="A143" s="9"/>
      <c r="B143" s="9"/>
      <c r="C143" s="9"/>
      <c r="D143" s="9"/>
      <c r="E143" s="14" t="str">
        <f aca="false">IF(OR(C143="",D143=""),"",IF(EXACT(C143,D143),1,0))</f>
        <v/>
      </c>
      <c r="F143" s="9"/>
    </row>
    <row r="144" customFormat="false" ht="15" hidden="false" customHeight="false" outlineLevel="0" collapsed="false">
      <c r="A144" s="9"/>
      <c r="B144" s="9"/>
      <c r="C144" s="9"/>
      <c r="D144" s="9"/>
      <c r="E144" s="14" t="str">
        <f aca="false">IF(OR(C144="",D144=""),"",IF(EXACT(C144,D144),1,0))</f>
        <v/>
      </c>
      <c r="F144" s="9"/>
    </row>
    <row r="145" customFormat="false" ht="15" hidden="false" customHeight="false" outlineLevel="0" collapsed="false">
      <c r="A145" s="9"/>
      <c r="B145" s="9"/>
      <c r="C145" s="9"/>
      <c r="D145" s="9"/>
      <c r="E145" s="14" t="str">
        <f aca="false">IF(OR(C145="",D145=""),"",IF(EXACT(C145,D145),1,0))</f>
        <v/>
      </c>
      <c r="F145" s="9"/>
    </row>
    <row r="146" customFormat="false" ht="15" hidden="false" customHeight="false" outlineLevel="0" collapsed="false">
      <c r="A146" s="9"/>
      <c r="B146" s="9"/>
      <c r="C146" s="9"/>
      <c r="D146" s="9"/>
      <c r="E146" s="14" t="str">
        <f aca="false">IF(OR(C146="",D146=""),"",IF(EXACT(C146,D146),1,0))</f>
        <v/>
      </c>
      <c r="F146" s="9"/>
    </row>
    <row r="147" customFormat="false" ht="15" hidden="false" customHeight="false" outlineLevel="0" collapsed="false">
      <c r="A147" s="9"/>
      <c r="B147" s="9"/>
      <c r="C147" s="9"/>
      <c r="D147" s="9"/>
      <c r="E147" s="14" t="str">
        <f aca="false">IF(OR(C147="",D147=""),"",IF(EXACT(C147,D147),1,0))</f>
        <v/>
      </c>
      <c r="F147" s="9"/>
    </row>
    <row r="148" customFormat="false" ht="15" hidden="false" customHeight="false" outlineLevel="0" collapsed="false">
      <c r="A148" s="9"/>
      <c r="B148" s="9"/>
      <c r="C148" s="9"/>
      <c r="D148" s="9"/>
      <c r="E148" s="14" t="str">
        <f aca="false">IF(OR(C148="",D148=""),"",IF(EXACT(C148,D148),1,0))</f>
        <v/>
      </c>
      <c r="F148" s="9"/>
    </row>
    <row r="149" customFormat="false" ht="15" hidden="false" customHeight="false" outlineLevel="0" collapsed="false">
      <c r="A149" s="9"/>
      <c r="B149" s="9"/>
      <c r="C149" s="9"/>
      <c r="D149" s="9"/>
      <c r="E149" s="14" t="str">
        <f aca="false">IF(OR(C149="",D149=""),"",IF(EXACT(C149,D149),1,0))</f>
        <v/>
      </c>
      <c r="F149" s="9"/>
    </row>
    <row r="150" customFormat="false" ht="15" hidden="false" customHeight="false" outlineLevel="0" collapsed="false">
      <c r="A150" s="9"/>
      <c r="B150" s="9"/>
      <c r="C150" s="9"/>
      <c r="D150" s="9"/>
      <c r="E150" s="14" t="str">
        <f aca="false">IF(OR(C150="",D150=""),"",IF(EXACT(C150,D150),1,0))</f>
        <v/>
      </c>
      <c r="F150" s="9"/>
    </row>
    <row r="151" customFormat="false" ht="15" hidden="false" customHeight="false" outlineLevel="0" collapsed="false">
      <c r="A151" s="9"/>
      <c r="B151" s="9"/>
      <c r="C151" s="9"/>
      <c r="D151" s="9"/>
      <c r="E151" s="14" t="str">
        <f aca="false">IF(OR(C151="",D151=""),"",IF(EXACT(C151,D151),1,0))</f>
        <v/>
      </c>
      <c r="F151" s="9"/>
    </row>
    <row r="152" customFormat="false" ht="15" hidden="false" customHeight="false" outlineLevel="0" collapsed="false">
      <c r="A152" s="9"/>
      <c r="B152" s="9"/>
      <c r="C152" s="9"/>
      <c r="D152" s="9"/>
      <c r="E152" s="14" t="str">
        <f aca="false">IF(OR(C152="",D152=""),"",IF(EXACT(C152,D152),1,0))</f>
        <v/>
      </c>
      <c r="F152" s="9"/>
    </row>
    <row r="153" customFormat="false" ht="15" hidden="false" customHeight="false" outlineLevel="0" collapsed="false">
      <c r="A153" s="9"/>
      <c r="B153" s="9"/>
      <c r="C153" s="9"/>
      <c r="D153" s="9"/>
      <c r="E153" s="14" t="str">
        <f aca="false">IF(OR(C153="",D153=""),"",IF(EXACT(C153,D153),1,0))</f>
        <v/>
      </c>
      <c r="F153" s="9"/>
    </row>
    <row r="154" customFormat="false" ht="15" hidden="false" customHeight="false" outlineLevel="0" collapsed="false">
      <c r="A154" s="9"/>
      <c r="B154" s="9"/>
      <c r="C154" s="9"/>
      <c r="D154" s="9"/>
      <c r="E154" s="14" t="str">
        <f aca="false">IF(OR(C154="",D154=""),"",IF(EXACT(C154,D154),1,0))</f>
        <v/>
      </c>
      <c r="F154" s="9"/>
    </row>
    <row r="155" customFormat="false" ht="15" hidden="false" customHeight="false" outlineLevel="0" collapsed="false">
      <c r="A155" s="9"/>
      <c r="B155" s="9"/>
      <c r="C155" s="9"/>
      <c r="D155" s="9"/>
      <c r="E155" s="14" t="str">
        <f aca="false">IF(OR(C155="",D155=""),"",IF(EXACT(C155,D155),1,0))</f>
        <v/>
      </c>
      <c r="F155" s="9"/>
    </row>
    <row r="156" customFormat="false" ht="15" hidden="false" customHeight="false" outlineLevel="0" collapsed="false">
      <c r="A156" s="9"/>
      <c r="B156" s="9"/>
      <c r="C156" s="9"/>
      <c r="D156" s="9"/>
      <c r="E156" s="14" t="str">
        <f aca="false">IF(OR(C156="",D156=""),"",IF(EXACT(C156,D156),1,0))</f>
        <v/>
      </c>
      <c r="F156" s="9"/>
    </row>
    <row r="157" customFormat="false" ht="15" hidden="false" customHeight="false" outlineLevel="0" collapsed="false">
      <c r="A157" s="9"/>
      <c r="B157" s="9"/>
      <c r="C157" s="9"/>
      <c r="D157" s="9"/>
      <c r="E157" s="14" t="str">
        <f aca="false">IF(OR(C157="",D157=""),"",IF(EXACT(C157,D157),1,0))</f>
        <v/>
      </c>
      <c r="F157" s="9"/>
    </row>
    <row r="158" customFormat="false" ht="15" hidden="false" customHeight="false" outlineLevel="0" collapsed="false">
      <c r="A158" s="9"/>
      <c r="B158" s="9"/>
      <c r="C158" s="9"/>
      <c r="D158" s="9"/>
      <c r="E158" s="14" t="str">
        <f aca="false">IF(OR(C158="",D158=""),"",IF(EXACT(C158,D158),1,0))</f>
        <v/>
      </c>
      <c r="F158" s="9"/>
    </row>
    <row r="159" customFormat="false" ht="15" hidden="false" customHeight="false" outlineLevel="0" collapsed="false">
      <c r="A159" s="9"/>
      <c r="B159" s="9"/>
      <c r="C159" s="9"/>
      <c r="D159" s="9"/>
      <c r="E159" s="14" t="str">
        <f aca="false">IF(OR(C159="",D159=""),"",IF(EXACT(C159,D159),1,0))</f>
        <v/>
      </c>
      <c r="F159" s="9"/>
    </row>
    <row r="160" customFormat="false" ht="15" hidden="false" customHeight="false" outlineLevel="0" collapsed="false">
      <c r="A160" s="9"/>
      <c r="B160" s="9"/>
      <c r="C160" s="9"/>
      <c r="D160" s="9"/>
      <c r="E160" s="14" t="str">
        <f aca="false">IF(OR(C160="",D160=""),"",IF(EXACT(C160,D160),1,0))</f>
        <v/>
      </c>
      <c r="F160" s="9"/>
    </row>
    <row r="161" customFormat="false" ht="15" hidden="false" customHeight="false" outlineLevel="0" collapsed="false">
      <c r="A161" s="9"/>
      <c r="B161" s="9"/>
      <c r="C161" s="9"/>
      <c r="D161" s="9"/>
      <c r="E161" s="14" t="str">
        <f aca="false">IF(OR(C161="",D161=""),"",IF(EXACT(C161,D161),1,0))</f>
        <v/>
      </c>
      <c r="F161" s="9"/>
    </row>
    <row r="162" customFormat="false" ht="15" hidden="false" customHeight="false" outlineLevel="0" collapsed="false">
      <c r="A162" s="9"/>
      <c r="B162" s="9"/>
      <c r="C162" s="9"/>
      <c r="D162" s="9"/>
      <c r="E162" s="14" t="str">
        <f aca="false">IF(OR(C162="",D162=""),"",IF(EXACT(C162,D162),1,0))</f>
        <v/>
      </c>
      <c r="F162" s="9"/>
    </row>
    <row r="163" customFormat="false" ht="15" hidden="false" customHeight="false" outlineLevel="0" collapsed="false">
      <c r="A163" s="9"/>
      <c r="B163" s="9"/>
      <c r="C163" s="9"/>
      <c r="D163" s="9"/>
      <c r="E163" s="14" t="str">
        <f aca="false">IF(OR(C163="",D163=""),"",IF(EXACT(C163,D163),1,0))</f>
        <v/>
      </c>
      <c r="F163" s="9"/>
    </row>
    <row r="164" customFormat="false" ht="15" hidden="false" customHeight="false" outlineLevel="0" collapsed="false">
      <c r="A164" s="9"/>
      <c r="B164" s="9"/>
      <c r="C164" s="9"/>
      <c r="D164" s="9"/>
      <c r="E164" s="14" t="str">
        <f aca="false">IF(OR(C164="",D164=""),"",IF(EXACT(C164,D164),1,0))</f>
        <v/>
      </c>
      <c r="F164" s="9"/>
    </row>
    <row r="165" customFormat="false" ht="15" hidden="false" customHeight="false" outlineLevel="0" collapsed="false">
      <c r="A165" s="9"/>
      <c r="B165" s="9"/>
      <c r="C165" s="9"/>
      <c r="D165" s="9"/>
      <c r="E165" s="14" t="str">
        <f aca="false">IF(OR(C165="",D165=""),"",IF(EXACT(C165,D165),1,0))</f>
        <v/>
      </c>
      <c r="F165" s="9"/>
    </row>
    <row r="166" customFormat="false" ht="15" hidden="false" customHeight="false" outlineLevel="0" collapsed="false">
      <c r="A166" s="9"/>
      <c r="B166" s="9"/>
      <c r="C166" s="9"/>
      <c r="D166" s="9"/>
      <c r="E166" s="14" t="str">
        <f aca="false">IF(OR(C166="",D166=""),"",IF(EXACT(C166,D166),1,0))</f>
        <v/>
      </c>
      <c r="F166" s="9"/>
    </row>
    <row r="167" customFormat="false" ht="15" hidden="false" customHeight="false" outlineLevel="0" collapsed="false">
      <c r="A167" s="9"/>
      <c r="B167" s="9"/>
      <c r="C167" s="9"/>
      <c r="D167" s="9"/>
      <c r="E167" s="14" t="str">
        <f aca="false">IF(OR(C167="",D167=""),"",IF(EXACT(C167,D167),1,0))</f>
        <v/>
      </c>
      <c r="F167" s="9"/>
    </row>
    <row r="168" customFormat="false" ht="15" hidden="false" customHeight="false" outlineLevel="0" collapsed="false">
      <c r="A168" s="9"/>
      <c r="B168" s="9"/>
      <c r="C168" s="9"/>
      <c r="D168" s="9"/>
      <c r="E168" s="14" t="str">
        <f aca="false">IF(OR(C168="",D168=""),"",IF(EXACT(C168,D168),1,0))</f>
        <v/>
      </c>
      <c r="F168" s="9"/>
    </row>
    <row r="169" customFormat="false" ht="15" hidden="false" customHeight="false" outlineLevel="0" collapsed="false">
      <c r="A169" s="9"/>
      <c r="B169" s="9"/>
      <c r="C169" s="9"/>
      <c r="D169" s="9"/>
      <c r="E169" s="14" t="str">
        <f aca="false">IF(OR(C169="",D169=""),"",IF(EXACT(C169,D169),1,0))</f>
        <v/>
      </c>
      <c r="F169" s="9"/>
    </row>
    <row r="170" customFormat="false" ht="15" hidden="false" customHeight="false" outlineLevel="0" collapsed="false">
      <c r="A170" s="9"/>
      <c r="B170" s="9"/>
      <c r="C170" s="9"/>
      <c r="D170" s="9"/>
      <c r="E170" s="14" t="str">
        <f aca="false">IF(OR(C170="",D170=""),"",IF(EXACT(C170,D170),1,0))</f>
        <v/>
      </c>
      <c r="F170" s="9"/>
    </row>
    <row r="171" customFormat="false" ht="15" hidden="false" customHeight="false" outlineLevel="0" collapsed="false">
      <c r="A171" s="9"/>
      <c r="B171" s="9"/>
      <c r="C171" s="9"/>
      <c r="D171" s="9"/>
      <c r="E171" s="14" t="str">
        <f aca="false">IF(OR(C171="",D171=""),"",IF(EXACT(C171,D171),1,0))</f>
        <v/>
      </c>
      <c r="F171" s="9"/>
    </row>
    <row r="172" customFormat="false" ht="15" hidden="false" customHeight="false" outlineLevel="0" collapsed="false">
      <c r="A172" s="9"/>
      <c r="B172" s="9"/>
      <c r="C172" s="9"/>
      <c r="D172" s="9"/>
      <c r="E172" s="14" t="str">
        <f aca="false">IF(OR(C172="",D172=""),"",IF(EXACT(C172,D172),1,0))</f>
        <v/>
      </c>
      <c r="F172" s="9"/>
    </row>
    <row r="173" customFormat="false" ht="15" hidden="false" customHeight="false" outlineLevel="0" collapsed="false">
      <c r="A173" s="9"/>
      <c r="B173" s="9"/>
      <c r="C173" s="9"/>
      <c r="D173" s="9"/>
      <c r="E173" s="14" t="str">
        <f aca="false">IF(OR(C173="",D173=""),"",IF(EXACT(C173,D173),1,0))</f>
        <v/>
      </c>
      <c r="F173" s="9"/>
    </row>
    <row r="174" customFormat="false" ht="15" hidden="false" customHeight="false" outlineLevel="0" collapsed="false">
      <c r="A174" s="9"/>
      <c r="B174" s="9"/>
      <c r="C174" s="9"/>
      <c r="D174" s="9"/>
      <c r="E174" s="14" t="str">
        <f aca="false">IF(OR(C174="",D174=""),"",IF(EXACT(C174,D174),1,0))</f>
        <v/>
      </c>
      <c r="F174" s="9"/>
    </row>
    <row r="175" customFormat="false" ht="15" hidden="false" customHeight="false" outlineLevel="0" collapsed="false">
      <c r="A175" s="9"/>
      <c r="B175" s="9"/>
      <c r="C175" s="9"/>
      <c r="D175" s="9"/>
      <c r="E175" s="14" t="str">
        <f aca="false">IF(OR(C175="",D175=""),"",IF(EXACT(C175,D175),1,0))</f>
        <v/>
      </c>
      <c r="F175" s="9"/>
    </row>
    <row r="176" customFormat="false" ht="15" hidden="false" customHeight="false" outlineLevel="0" collapsed="false">
      <c r="A176" s="9"/>
      <c r="B176" s="9"/>
      <c r="C176" s="9"/>
      <c r="D176" s="9"/>
      <c r="E176" s="14" t="str">
        <f aca="false">IF(OR(C176="",D176=""),"",IF(EXACT(C176,D176),1,0))</f>
        <v/>
      </c>
      <c r="F176" s="9"/>
    </row>
    <row r="177" customFormat="false" ht="15" hidden="false" customHeight="false" outlineLevel="0" collapsed="false">
      <c r="A177" s="9"/>
      <c r="B177" s="9"/>
      <c r="C177" s="9"/>
      <c r="D177" s="9"/>
      <c r="E177" s="14" t="str">
        <f aca="false">IF(OR(C177="",D177=""),"",IF(EXACT(C177,D177),1,0))</f>
        <v/>
      </c>
      <c r="F177" s="9"/>
    </row>
    <row r="178" customFormat="false" ht="15" hidden="false" customHeight="false" outlineLevel="0" collapsed="false">
      <c r="A178" s="9"/>
      <c r="B178" s="9"/>
      <c r="C178" s="9"/>
      <c r="D178" s="9"/>
      <c r="E178" s="14" t="str">
        <f aca="false">IF(OR(C178="",D178=""),"",IF(EXACT(C178,D178),1,0))</f>
        <v/>
      </c>
      <c r="F178" s="9"/>
    </row>
    <row r="179" customFormat="false" ht="15" hidden="false" customHeight="false" outlineLevel="0" collapsed="false">
      <c r="A179" s="9"/>
      <c r="B179" s="9"/>
      <c r="C179" s="9"/>
      <c r="D179" s="9"/>
      <c r="E179" s="14" t="str">
        <f aca="false">IF(OR(C179="",D179=""),"",IF(EXACT(C179,D179),1,0))</f>
        <v/>
      </c>
      <c r="F179" s="9"/>
    </row>
    <row r="180" customFormat="false" ht="15" hidden="false" customHeight="false" outlineLevel="0" collapsed="false">
      <c r="A180" s="9"/>
      <c r="B180" s="9"/>
      <c r="C180" s="9"/>
      <c r="D180" s="9"/>
      <c r="E180" s="14" t="str">
        <f aca="false">IF(OR(C180="",D180=""),"",IF(EXACT(C180,D180),1,0))</f>
        <v/>
      </c>
      <c r="F180" s="9"/>
    </row>
    <row r="181" customFormat="false" ht="15" hidden="false" customHeight="false" outlineLevel="0" collapsed="false">
      <c r="A181" s="9"/>
      <c r="B181" s="9"/>
      <c r="C181" s="9"/>
      <c r="D181" s="9"/>
      <c r="E181" s="14" t="str">
        <f aca="false">IF(OR(C181="",D181=""),"",IF(EXACT(C181,D181),1,0))</f>
        <v/>
      </c>
      <c r="F181" s="9"/>
    </row>
    <row r="182" customFormat="false" ht="15" hidden="false" customHeight="false" outlineLevel="0" collapsed="false">
      <c r="A182" s="9"/>
      <c r="B182" s="9"/>
      <c r="C182" s="9"/>
      <c r="D182" s="9"/>
      <c r="E182" s="14" t="str">
        <f aca="false">IF(OR(C182="",D182=""),"",IF(EXACT(C182,D182),1,0))</f>
        <v/>
      </c>
      <c r="F182" s="9"/>
    </row>
    <row r="183" customFormat="false" ht="15" hidden="false" customHeight="false" outlineLevel="0" collapsed="false">
      <c r="A183" s="9"/>
      <c r="B183" s="9"/>
      <c r="C183" s="9"/>
      <c r="D183" s="9"/>
      <c r="E183" s="14" t="str">
        <f aca="false">IF(OR(C183="",D183=""),"",IF(EXACT(C183,D183),1,0))</f>
        <v/>
      </c>
      <c r="F183" s="9"/>
    </row>
    <row r="184" customFormat="false" ht="15" hidden="false" customHeight="false" outlineLevel="0" collapsed="false">
      <c r="A184" s="9"/>
      <c r="B184" s="9"/>
      <c r="C184" s="9"/>
      <c r="D184" s="9"/>
      <c r="E184" s="14" t="str">
        <f aca="false">IF(OR(C184="",D184=""),"",IF(EXACT(C184,D184),1,0))</f>
        <v/>
      </c>
      <c r="F184" s="9"/>
    </row>
    <row r="185" customFormat="false" ht="15" hidden="false" customHeight="false" outlineLevel="0" collapsed="false">
      <c r="A185" s="9"/>
      <c r="B185" s="9"/>
      <c r="C185" s="9"/>
      <c r="D185" s="9"/>
      <c r="E185" s="14" t="str">
        <f aca="false">IF(OR(C185="",D185=""),"",IF(EXACT(C185,D185),1,0))</f>
        <v/>
      </c>
      <c r="F185" s="9"/>
    </row>
    <row r="186" customFormat="false" ht="15" hidden="false" customHeight="false" outlineLevel="0" collapsed="false">
      <c r="A186" s="9"/>
      <c r="B186" s="9"/>
      <c r="C186" s="9"/>
      <c r="D186" s="9"/>
      <c r="E186" s="14" t="str">
        <f aca="false">IF(OR(C186="",D186=""),"",IF(EXACT(C186,D186),1,0))</f>
        <v/>
      </c>
      <c r="F186" s="9"/>
    </row>
    <row r="187" customFormat="false" ht="15" hidden="false" customHeight="false" outlineLevel="0" collapsed="false">
      <c r="A187" s="9"/>
      <c r="B187" s="9"/>
      <c r="C187" s="9"/>
      <c r="D187" s="9"/>
      <c r="E187" s="14" t="str">
        <f aca="false">IF(OR(C187="",D187=""),"",IF(EXACT(C187,D187),1,0))</f>
        <v/>
      </c>
      <c r="F187" s="9"/>
    </row>
    <row r="188" customFormat="false" ht="15" hidden="false" customHeight="false" outlineLevel="0" collapsed="false">
      <c r="A188" s="9"/>
      <c r="B188" s="9"/>
      <c r="C188" s="9"/>
      <c r="D188" s="9"/>
      <c r="E188" s="14" t="str">
        <f aca="false">IF(OR(C188="",D188=""),"",IF(EXACT(C188,D188),1,0))</f>
        <v/>
      </c>
      <c r="F188" s="9"/>
    </row>
    <row r="189" customFormat="false" ht="15" hidden="false" customHeight="false" outlineLevel="0" collapsed="false">
      <c r="A189" s="9"/>
      <c r="B189" s="9"/>
      <c r="C189" s="9"/>
      <c r="D189" s="9"/>
      <c r="E189" s="14" t="str">
        <f aca="false">IF(OR(C189="",D189=""),"",IF(EXACT(C189,D189),1,0))</f>
        <v/>
      </c>
      <c r="F189" s="9"/>
    </row>
    <row r="190" customFormat="false" ht="15" hidden="false" customHeight="false" outlineLevel="0" collapsed="false">
      <c r="A190" s="9"/>
      <c r="B190" s="9"/>
      <c r="C190" s="9"/>
      <c r="D190" s="9"/>
      <c r="E190" s="14" t="str">
        <f aca="false">IF(OR(C190="",D190=""),"",IF(EXACT(C190,D190),1,0))</f>
        <v/>
      </c>
      <c r="F190" s="9"/>
    </row>
    <row r="191" customFormat="false" ht="15" hidden="false" customHeight="false" outlineLevel="0" collapsed="false">
      <c r="A191" s="9"/>
      <c r="B191" s="9"/>
      <c r="C191" s="9"/>
      <c r="D191" s="9"/>
      <c r="E191" s="14" t="str">
        <f aca="false">IF(OR(C191="",D191=""),"",IF(EXACT(C191,D191),1,0))</f>
        <v/>
      </c>
      <c r="F191" s="9"/>
    </row>
    <row r="192" customFormat="false" ht="15" hidden="false" customHeight="false" outlineLevel="0" collapsed="false">
      <c r="A192" s="9"/>
      <c r="B192" s="9"/>
      <c r="C192" s="9"/>
      <c r="D192" s="9"/>
      <c r="E192" s="14" t="str">
        <f aca="false">IF(OR(C192="",D192=""),"",IF(EXACT(C192,D192),1,0))</f>
        <v/>
      </c>
      <c r="F192" s="9"/>
    </row>
    <row r="193" customFormat="false" ht="15" hidden="false" customHeight="false" outlineLevel="0" collapsed="false">
      <c r="A193" s="9"/>
      <c r="B193" s="9"/>
      <c r="C193" s="9"/>
      <c r="D193" s="9"/>
      <c r="E193" s="14" t="str">
        <f aca="false">IF(OR(C193="",D193=""),"",IF(EXACT(C193,D193),1,0))</f>
        <v/>
      </c>
      <c r="F193" s="9"/>
    </row>
    <row r="194" customFormat="false" ht="15" hidden="false" customHeight="false" outlineLevel="0" collapsed="false">
      <c r="A194" s="9"/>
      <c r="B194" s="9"/>
      <c r="C194" s="9"/>
      <c r="D194" s="9"/>
      <c r="E194" s="14" t="str">
        <f aca="false">IF(OR(C194="",D194=""),"",IF(EXACT(C194,D194),1,0))</f>
        <v/>
      </c>
      <c r="F194" s="9"/>
    </row>
    <row r="195" customFormat="false" ht="15" hidden="false" customHeight="false" outlineLevel="0" collapsed="false">
      <c r="A195" s="9"/>
      <c r="B195" s="9"/>
      <c r="C195" s="9"/>
      <c r="D195" s="9"/>
      <c r="E195" s="14" t="str">
        <f aca="false">IF(OR(C195="",D195=""),"",IF(EXACT(C195,D195),1,0))</f>
        <v/>
      </c>
      <c r="F195" s="9"/>
    </row>
    <row r="196" customFormat="false" ht="15" hidden="false" customHeight="false" outlineLevel="0" collapsed="false">
      <c r="A196" s="9"/>
      <c r="B196" s="9"/>
      <c r="C196" s="9"/>
      <c r="D196" s="9"/>
      <c r="E196" s="14" t="str">
        <f aca="false">IF(OR(C196="",D196=""),"",IF(EXACT(C196,D196),1,0))</f>
        <v/>
      </c>
      <c r="F196" s="9"/>
    </row>
    <row r="197" customFormat="false" ht="15" hidden="false" customHeight="false" outlineLevel="0" collapsed="false">
      <c r="A197" s="9"/>
      <c r="B197" s="9"/>
      <c r="C197" s="9"/>
      <c r="D197" s="9"/>
      <c r="E197" s="14" t="str">
        <f aca="false">IF(OR(C197="",D197=""),"",IF(EXACT(C197,D197),1,0))</f>
        <v/>
      </c>
      <c r="F197" s="9"/>
    </row>
    <row r="198" customFormat="false" ht="15" hidden="false" customHeight="false" outlineLevel="0" collapsed="false">
      <c r="A198" s="9"/>
      <c r="B198" s="9"/>
      <c r="C198" s="9"/>
      <c r="D198" s="9"/>
      <c r="E198" s="14" t="str">
        <f aca="false">IF(OR(C198="",D198=""),"",IF(EXACT(C198,D198),1,0))</f>
        <v/>
      </c>
      <c r="F198" s="9"/>
    </row>
    <row r="199" customFormat="false" ht="15" hidden="false" customHeight="false" outlineLevel="0" collapsed="false">
      <c r="A199" s="9"/>
      <c r="B199" s="9"/>
      <c r="C199" s="9"/>
      <c r="D199" s="9"/>
      <c r="E199" s="14" t="str">
        <f aca="false">IF(OR(C199="",D199=""),"",IF(EXACT(C199,D199),1,0))</f>
        <v/>
      </c>
      <c r="F199" s="9"/>
    </row>
    <row r="200" customFormat="false" ht="15" hidden="false" customHeight="false" outlineLevel="0" collapsed="false">
      <c r="A200" s="9"/>
      <c r="B200" s="9"/>
      <c r="C200" s="9"/>
      <c r="D200" s="9"/>
      <c r="E200" s="14" t="str">
        <f aca="false">IF(OR(C200="",D200=""),"",IF(EXACT(C200,D200),1,0))</f>
        <v/>
      </c>
      <c r="F200" s="9"/>
    </row>
    <row r="201" customFormat="false" ht="15" hidden="false" customHeight="false" outlineLevel="0" collapsed="false">
      <c r="A201" s="9"/>
      <c r="B201" s="9"/>
      <c r="C201" s="9"/>
      <c r="D201" s="9"/>
      <c r="E201" s="14" t="str">
        <f aca="false">IF(OR(C201="",D201=""),"",IF(EXACT(C201,D201),1,0))</f>
        <v/>
      </c>
      <c r="F201" s="9"/>
    </row>
    <row r="202" customFormat="false" ht="15" hidden="false" customHeight="false" outlineLevel="0" collapsed="false">
      <c r="A202" s="9"/>
      <c r="B202" s="9"/>
      <c r="C202" s="9"/>
      <c r="D202" s="9"/>
      <c r="E202" s="14" t="str">
        <f aca="false">IF(OR(C202="",D202=""),"",IF(EXACT(C202,D202),1,0))</f>
        <v/>
      </c>
      <c r="F202" s="9"/>
    </row>
    <row r="203" customFormat="false" ht="15" hidden="false" customHeight="false" outlineLevel="0" collapsed="false">
      <c r="A203" s="9"/>
      <c r="B203" s="9"/>
      <c r="C203" s="9"/>
      <c r="D203" s="9"/>
      <c r="E203" s="14" t="str">
        <f aca="false">IF(OR(C203="",D203=""),"",IF(EXACT(C203,D203),1,0))</f>
        <v/>
      </c>
      <c r="F203" s="9"/>
    </row>
    <row r="204" customFormat="false" ht="15" hidden="false" customHeight="false" outlineLevel="0" collapsed="false">
      <c r="A204" s="9"/>
      <c r="B204" s="9"/>
      <c r="C204" s="9"/>
      <c r="D204" s="9"/>
      <c r="E204" s="14" t="str">
        <f aca="false">IF(OR(C204="",D204=""),"",IF(EXACT(C204,D204),1,0))</f>
        <v/>
      </c>
      <c r="F204" s="9"/>
    </row>
    <row r="205" customFormat="false" ht="15" hidden="false" customHeight="false" outlineLevel="0" collapsed="false">
      <c r="A205" s="9"/>
      <c r="B205" s="9"/>
      <c r="C205" s="9"/>
      <c r="D205" s="9"/>
      <c r="E205" s="14" t="str">
        <f aca="false">IF(OR(C205="",D205=""),"",IF(EXACT(C205,D205),1,0))</f>
        <v/>
      </c>
      <c r="F205" s="9"/>
    </row>
    <row r="206" customFormat="false" ht="15" hidden="false" customHeight="false" outlineLevel="0" collapsed="false">
      <c r="A206" s="9"/>
      <c r="B206" s="9"/>
      <c r="C206" s="9"/>
      <c r="D206" s="9"/>
      <c r="E206" s="14" t="str">
        <f aca="false">IF(OR(C206="",D206=""),"",IF(EXACT(C206,D206),1,0))</f>
        <v/>
      </c>
      <c r="F206" s="9"/>
    </row>
    <row r="207" customFormat="false" ht="15" hidden="false" customHeight="false" outlineLevel="0" collapsed="false">
      <c r="A207" s="9"/>
      <c r="B207" s="9"/>
      <c r="C207" s="9"/>
      <c r="D207" s="9"/>
      <c r="E207" s="14" t="str">
        <f aca="false">IF(OR(C207="",D207=""),"",IF(EXACT(C207,D207),1,0))</f>
        <v/>
      </c>
      <c r="F207" s="9"/>
    </row>
    <row r="208" customFormat="false" ht="15" hidden="false" customHeight="false" outlineLevel="0" collapsed="false">
      <c r="A208" s="9"/>
      <c r="B208" s="9"/>
      <c r="C208" s="9"/>
      <c r="D208" s="9"/>
      <c r="E208" s="14" t="str">
        <f aca="false">IF(OR(C208="",D208=""),"",IF(EXACT(C208,D208),1,0))</f>
        <v/>
      </c>
      <c r="F208" s="9"/>
    </row>
    <row r="209" customFormat="false" ht="15" hidden="false" customHeight="false" outlineLevel="0" collapsed="false">
      <c r="A209" s="9"/>
      <c r="B209" s="9"/>
      <c r="C209" s="9"/>
      <c r="D209" s="9"/>
      <c r="E209" s="14" t="str">
        <f aca="false">IF(OR(C209="",D209=""),"",IF(EXACT(C209,D209),1,0))</f>
        <v/>
      </c>
      <c r="F209" s="9"/>
    </row>
    <row r="210" customFormat="false" ht="15" hidden="false" customHeight="false" outlineLevel="0" collapsed="false">
      <c r="A210" s="9"/>
      <c r="B210" s="9"/>
      <c r="C210" s="9"/>
      <c r="D210" s="9"/>
      <c r="E210" s="14" t="str">
        <f aca="false">IF(OR(C210="",D210=""),"",IF(EXACT(C210,D210),1,0))</f>
        <v/>
      </c>
      <c r="F210" s="9"/>
    </row>
    <row r="211" customFormat="false" ht="15" hidden="false" customHeight="false" outlineLevel="0" collapsed="false">
      <c r="A211" s="9"/>
      <c r="B211" s="9"/>
      <c r="C211" s="9"/>
      <c r="D211" s="9"/>
      <c r="E211" s="14" t="str">
        <f aca="false">IF(OR(C211="",D211=""),"",IF(EXACT(C211,D211),1,0))</f>
        <v/>
      </c>
      <c r="F211" s="9"/>
    </row>
    <row r="212" customFormat="false" ht="15" hidden="false" customHeight="false" outlineLevel="0" collapsed="false">
      <c r="A212" s="9"/>
      <c r="B212" s="9"/>
      <c r="C212" s="9"/>
      <c r="D212" s="9"/>
      <c r="E212" s="14" t="str">
        <f aca="false">IF(OR(C212="",D212=""),"",IF(EXACT(C212,D212),1,0))</f>
        <v/>
      </c>
      <c r="F212" s="9"/>
    </row>
    <row r="213" customFormat="false" ht="15" hidden="false" customHeight="false" outlineLevel="0" collapsed="false">
      <c r="A213" s="9"/>
      <c r="B213" s="9"/>
      <c r="C213" s="9"/>
      <c r="D213" s="9"/>
      <c r="E213" s="14" t="str">
        <f aca="false">IF(OR(C213="",D213=""),"",IF(EXACT(C213,D213),1,0))</f>
        <v/>
      </c>
      <c r="F213" s="9"/>
    </row>
    <row r="214" customFormat="false" ht="15" hidden="false" customHeight="false" outlineLevel="0" collapsed="false">
      <c r="A214" s="9"/>
      <c r="B214" s="9"/>
      <c r="C214" s="9"/>
      <c r="D214" s="9"/>
      <c r="E214" s="14" t="str">
        <f aca="false">IF(OR(C214="",D214=""),"",IF(EXACT(C214,D214),1,0))</f>
        <v/>
      </c>
      <c r="F214" s="9"/>
    </row>
    <row r="215" customFormat="false" ht="15" hidden="false" customHeight="false" outlineLevel="0" collapsed="false">
      <c r="A215" s="9"/>
      <c r="B215" s="9"/>
      <c r="C215" s="9"/>
      <c r="D215" s="9"/>
      <c r="E215" s="14" t="str">
        <f aca="false">IF(OR(C215="",D215=""),"",IF(EXACT(C215,D215),1,0))</f>
        <v/>
      </c>
      <c r="F215" s="9"/>
    </row>
    <row r="216" customFormat="false" ht="15" hidden="false" customHeight="false" outlineLevel="0" collapsed="false">
      <c r="A216" s="9"/>
      <c r="B216" s="9"/>
      <c r="C216" s="9"/>
      <c r="D216" s="9"/>
      <c r="E216" s="14" t="str">
        <f aca="false">IF(OR(C216="",D216=""),"",IF(EXACT(C216,D216),1,0))</f>
        <v/>
      </c>
      <c r="F216" s="9"/>
    </row>
    <row r="217" customFormat="false" ht="15" hidden="false" customHeight="false" outlineLevel="0" collapsed="false">
      <c r="A217" s="9"/>
      <c r="B217" s="9"/>
      <c r="C217" s="9"/>
      <c r="D217" s="9"/>
      <c r="E217" s="14" t="str">
        <f aca="false">IF(OR(C217="",D217=""),"",IF(EXACT(C217,D217),1,0))</f>
        <v/>
      </c>
      <c r="F217" s="9"/>
    </row>
    <row r="218" customFormat="false" ht="15" hidden="false" customHeight="false" outlineLevel="0" collapsed="false">
      <c r="A218" s="9"/>
      <c r="B218" s="9"/>
      <c r="C218" s="9"/>
      <c r="D218" s="9"/>
      <c r="E218" s="14" t="str">
        <f aca="false">IF(OR(C218="",D218=""),"",IF(EXACT(C218,D218),1,0))</f>
        <v/>
      </c>
      <c r="F218" s="9"/>
    </row>
    <row r="219" customFormat="false" ht="15" hidden="false" customHeight="false" outlineLevel="0" collapsed="false">
      <c r="A219" s="9"/>
      <c r="B219" s="9"/>
      <c r="C219" s="9"/>
      <c r="D219" s="9"/>
      <c r="E219" s="14" t="str">
        <f aca="false">IF(OR(C219="",D219=""),"",IF(EXACT(C219,D219),1,0))</f>
        <v/>
      </c>
      <c r="F219" s="9"/>
    </row>
    <row r="220" customFormat="false" ht="15" hidden="false" customHeight="false" outlineLevel="0" collapsed="false">
      <c r="A220" s="9"/>
      <c r="B220" s="9"/>
      <c r="C220" s="9"/>
      <c r="D220" s="9"/>
      <c r="E220" s="14" t="str">
        <f aca="false">IF(OR(C220="",D220=""),"",IF(EXACT(C220,D220),1,0))</f>
        <v/>
      </c>
      <c r="F220" s="9"/>
    </row>
    <row r="221" customFormat="false" ht="15" hidden="false" customHeight="false" outlineLevel="0" collapsed="false">
      <c r="A221" s="9"/>
      <c r="B221" s="9"/>
      <c r="C221" s="9"/>
      <c r="D221" s="9"/>
      <c r="E221" s="14" t="str">
        <f aca="false">IF(OR(C221="",D221=""),"",IF(EXACT(C221,D221),1,0))</f>
        <v/>
      </c>
      <c r="F221" s="9"/>
    </row>
    <row r="222" customFormat="false" ht="15" hidden="false" customHeight="false" outlineLevel="0" collapsed="false">
      <c r="A222" s="9"/>
      <c r="B222" s="9"/>
      <c r="C222" s="9"/>
      <c r="D222" s="9"/>
      <c r="E222" s="14" t="str">
        <f aca="false">IF(OR(C222="",D222=""),"",IF(EXACT(C222,D222),1,0))</f>
        <v/>
      </c>
      <c r="F222" s="9"/>
    </row>
    <row r="223" customFormat="false" ht="15" hidden="false" customHeight="false" outlineLevel="0" collapsed="false">
      <c r="A223" s="9"/>
      <c r="B223" s="9"/>
      <c r="C223" s="9"/>
      <c r="D223" s="9"/>
      <c r="E223" s="14" t="str">
        <f aca="false">IF(OR(C223="",D223=""),"",IF(EXACT(C223,D223),1,0))</f>
        <v/>
      </c>
      <c r="F223" s="9"/>
    </row>
    <row r="224" customFormat="false" ht="15" hidden="false" customHeight="false" outlineLevel="0" collapsed="false">
      <c r="A224" s="9"/>
      <c r="B224" s="9"/>
      <c r="C224" s="9"/>
      <c r="D224" s="9"/>
      <c r="E224" s="14" t="str">
        <f aca="false">IF(OR(C224="",D224=""),"",IF(EXACT(C224,D224),1,0))</f>
        <v/>
      </c>
      <c r="F224" s="9"/>
    </row>
    <row r="225" customFormat="false" ht="15" hidden="false" customHeight="false" outlineLevel="0" collapsed="false">
      <c r="A225" s="9"/>
      <c r="B225" s="9"/>
      <c r="C225" s="9"/>
      <c r="D225" s="9"/>
      <c r="E225" s="14" t="str">
        <f aca="false">IF(OR(C225="",D225=""),"",IF(EXACT(C225,D225),1,0))</f>
        <v/>
      </c>
      <c r="F225" s="9"/>
    </row>
    <row r="226" customFormat="false" ht="15" hidden="false" customHeight="false" outlineLevel="0" collapsed="false">
      <c r="A226" s="9"/>
      <c r="B226" s="9"/>
      <c r="C226" s="9"/>
      <c r="D226" s="9"/>
      <c r="E226" s="14" t="str">
        <f aca="false">IF(OR(C226="",D226=""),"",IF(EXACT(C226,D226),1,0))</f>
        <v/>
      </c>
      <c r="F226" s="9"/>
    </row>
    <row r="227" customFormat="false" ht="15" hidden="false" customHeight="false" outlineLevel="0" collapsed="false">
      <c r="A227" s="9"/>
      <c r="B227" s="9"/>
      <c r="C227" s="9"/>
      <c r="D227" s="9"/>
      <c r="E227" s="14" t="str">
        <f aca="false">IF(OR(C227="",D227=""),"",IF(EXACT(C227,D227),1,0))</f>
        <v/>
      </c>
      <c r="F227" s="9"/>
    </row>
    <row r="228" customFormat="false" ht="15" hidden="false" customHeight="false" outlineLevel="0" collapsed="false">
      <c r="A228" s="9"/>
      <c r="B228" s="9"/>
      <c r="C228" s="9"/>
      <c r="D228" s="9"/>
      <c r="E228" s="14" t="str">
        <f aca="false">IF(OR(C228="",D228=""),"",IF(EXACT(C228,D228),1,0))</f>
        <v/>
      </c>
      <c r="F228" s="9"/>
    </row>
    <row r="229" customFormat="false" ht="15" hidden="false" customHeight="false" outlineLevel="0" collapsed="false">
      <c r="A229" s="9"/>
      <c r="B229" s="9"/>
      <c r="C229" s="9"/>
      <c r="D229" s="9"/>
      <c r="E229" s="14" t="str">
        <f aca="false">IF(OR(C229="",D229=""),"",IF(EXACT(C229,D229),1,0))</f>
        <v/>
      </c>
      <c r="F229" s="9"/>
    </row>
    <row r="230" customFormat="false" ht="15" hidden="false" customHeight="false" outlineLevel="0" collapsed="false">
      <c r="A230" s="9"/>
      <c r="B230" s="9"/>
      <c r="C230" s="9"/>
      <c r="D230" s="9"/>
      <c r="E230" s="14" t="str">
        <f aca="false">IF(OR(C230="",D230=""),"",IF(EXACT(C230,D230),1,0))</f>
        <v/>
      </c>
      <c r="F230" s="9"/>
    </row>
    <row r="231" customFormat="false" ht="15" hidden="false" customHeight="false" outlineLevel="0" collapsed="false">
      <c r="A231" s="9"/>
      <c r="B231" s="9"/>
      <c r="C231" s="9"/>
      <c r="D231" s="9"/>
      <c r="E231" s="14" t="str">
        <f aca="false">IF(OR(C231="",D231=""),"",IF(EXACT(C231,D231),1,0))</f>
        <v/>
      </c>
      <c r="F231" s="9"/>
    </row>
    <row r="232" customFormat="false" ht="15" hidden="false" customHeight="false" outlineLevel="0" collapsed="false">
      <c r="A232" s="9"/>
      <c r="B232" s="9"/>
      <c r="C232" s="9"/>
      <c r="D232" s="9"/>
      <c r="E232" s="14" t="str">
        <f aca="false">IF(OR(C232="",D232=""),"",IF(EXACT(C232,D232),1,0))</f>
        <v/>
      </c>
      <c r="F232" s="9"/>
    </row>
    <row r="233" customFormat="false" ht="15" hidden="false" customHeight="false" outlineLevel="0" collapsed="false">
      <c r="A233" s="9"/>
      <c r="B233" s="9"/>
      <c r="C233" s="9"/>
      <c r="D233" s="9"/>
      <c r="E233" s="14" t="str">
        <f aca="false">IF(OR(C233="",D233=""),"",IF(EXACT(C233,D233),1,0))</f>
        <v/>
      </c>
      <c r="F233" s="9"/>
    </row>
    <row r="234" customFormat="false" ht="15" hidden="false" customHeight="false" outlineLevel="0" collapsed="false">
      <c r="A234" s="9"/>
      <c r="B234" s="9"/>
      <c r="C234" s="9"/>
      <c r="D234" s="9"/>
      <c r="E234" s="14" t="str">
        <f aca="false">IF(OR(C234="",D234=""),"",IF(EXACT(C234,D234),1,0))</f>
        <v/>
      </c>
      <c r="F234" s="9"/>
    </row>
    <row r="235" customFormat="false" ht="15" hidden="false" customHeight="false" outlineLevel="0" collapsed="false">
      <c r="A235" s="9"/>
      <c r="B235" s="9"/>
      <c r="C235" s="9"/>
      <c r="D235" s="9"/>
      <c r="E235" s="14" t="str">
        <f aca="false">IF(OR(C235="",D235=""),"",IF(EXACT(C235,D235),1,0))</f>
        <v/>
      </c>
      <c r="F235" s="9"/>
    </row>
    <row r="236" customFormat="false" ht="15" hidden="false" customHeight="false" outlineLevel="0" collapsed="false">
      <c r="A236" s="9"/>
      <c r="B236" s="9"/>
      <c r="C236" s="9"/>
      <c r="D236" s="9"/>
      <c r="E236" s="14" t="str">
        <f aca="false">IF(OR(C236="",D236=""),"",IF(EXACT(C236,D236),1,0))</f>
        <v/>
      </c>
      <c r="F236" s="9"/>
    </row>
    <row r="237" customFormat="false" ht="15" hidden="false" customHeight="false" outlineLevel="0" collapsed="false">
      <c r="A237" s="9"/>
      <c r="B237" s="9"/>
      <c r="C237" s="9"/>
      <c r="D237" s="9"/>
      <c r="E237" s="14" t="str">
        <f aca="false">IF(OR(C237="",D237=""),"",IF(EXACT(C237,D237),1,0))</f>
        <v/>
      </c>
      <c r="F237" s="9"/>
    </row>
    <row r="238" customFormat="false" ht="15" hidden="false" customHeight="false" outlineLevel="0" collapsed="false">
      <c r="A238" s="9"/>
      <c r="B238" s="9"/>
      <c r="C238" s="9"/>
      <c r="D238" s="9"/>
      <c r="E238" s="14" t="str">
        <f aca="false">IF(OR(C238="",D238=""),"",IF(EXACT(C238,D238),1,0))</f>
        <v/>
      </c>
      <c r="F238" s="9"/>
    </row>
    <row r="239" customFormat="false" ht="15" hidden="false" customHeight="false" outlineLevel="0" collapsed="false">
      <c r="A239" s="9"/>
      <c r="B239" s="9"/>
      <c r="C239" s="9"/>
      <c r="D239" s="9"/>
      <c r="E239" s="14" t="str">
        <f aca="false">IF(OR(C239="",D239=""),"",IF(EXACT(C239,D239),1,0))</f>
        <v/>
      </c>
      <c r="F239" s="9"/>
    </row>
    <row r="240" customFormat="false" ht="15" hidden="false" customHeight="false" outlineLevel="0" collapsed="false">
      <c r="A240" s="9"/>
      <c r="B240" s="9"/>
      <c r="C240" s="9"/>
      <c r="D240" s="9"/>
      <c r="E240" s="14" t="str">
        <f aca="false">IF(OR(C240="",D240=""),"",IF(EXACT(C240,D240),1,0))</f>
        <v/>
      </c>
      <c r="F240" s="9"/>
    </row>
    <row r="241" customFormat="false" ht="15" hidden="false" customHeight="false" outlineLevel="0" collapsed="false">
      <c r="A241" s="9"/>
      <c r="B241" s="9"/>
      <c r="C241" s="9"/>
      <c r="D241" s="9"/>
      <c r="E241" s="14" t="str">
        <f aca="false">IF(OR(C241="",D241=""),"",IF(EXACT(C241,D241),1,0))</f>
        <v/>
      </c>
      <c r="F241" s="9"/>
    </row>
    <row r="242" customFormat="false" ht="15" hidden="false" customHeight="false" outlineLevel="0" collapsed="false">
      <c r="A242" s="9"/>
      <c r="B242" s="9"/>
      <c r="C242" s="9"/>
      <c r="D242" s="9"/>
      <c r="E242" s="14" t="str">
        <f aca="false">IF(OR(C242="",D242=""),"",IF(EXACT(C242,D242),1,0))</f>
        <v/>
      </c>
      <c r="F242" s="9"/>
    </row>
    <row r="243" customFormat="false" ht="15" hidden="false" customHeight="false" outlineLevel="0" collapsed="false">
      <c r="A243" s="9"/>
      <c r="B243" s="9"/>
      <c r="C243" s="9"/>
      <c r="D243" s="9"/>
      <c r="E243" s="14" t="str">
        <f aca="false">IF(OR(C243="",D243=""),"",IF(EXACT(C243,D243),1,0))</f>
        <v/>
      </c>
      <c r="F243" s="9"/>
    </row>
    <row r="244" customFormat="false" ht="15" hidden="false" customHeight="false" outlineLevel="0" collapsed="false">
      <c r="A244" s="9"/>
      <c r="B244" s="9"/>
      <c r="C244" s="9"/>
      <c r="D244" s="9"/>
      <c r="E244" s="14" t="str">
        <f aca="false">IF(OR(C244="",D244=""),"",IF(EXACT(C244,D244),1,0))</f>
        <v/>
      </c>
      <c r="F244" s="9"/>
    </row>
    <row r="245" customFormat="false" ht="15" hidden="false" customHeight="false" outlineLevel="0" collapsed="false">
      <c r="A245" s="9"/>
      <c r="B245" s="9"/>
      <c r="C245" s="9"/>
      <c r="D245" s="9"/>
      <c r="E245" s="14" t="str">
        <f aca="false">IF(OR(C245="",D245=""),"",IF(EXACT(C245,D245),1,0))</f>
        <v/>
      </c>
      <c r="F245" s="9"/>
    </row>
    <row r="246" customFormat="false" ht="15" hidden="false" customHeight="false" outlineLevel="0" collapsed="false">
      <c r="A246" s="9"/>
      <c r="B246" s="9"/>
      <c r="C246" s="9"/>
      <c r="D246" s="9"/>
      <c r="E246" s="14" t="str">
        <f aca="false">IF(OR(C246="",D246=""),"",IF(EXACT(C246,D246),1,0))</f>
        <v/>
      </c>
      <c r="F246" s="9"/>
    </row>
    <row r="247" customFormat="false" ht="15" hidden="false" customHeight="false" outlineLevel="0" collapsed="false">
      <c r="A247" s="9"/>
      <c r="B247" s="9"/>
      <c r="C247" s="9"/>
      <c r="D247" s="9"/>
      <c r="E247" s="14" t="str">
        <f aca="false">IF(OR(C247="",D247=""),"",IF(EXACT(C247,D247),1,0))</f>
        <v/>
      </c>
      <c r="F247" s="9"/>
    </row>
    <row r="248" customFormat="false" ht="15" hidden="false" customHeight="false" outlineLevel="0" collapsed="false">
      <c r="A248" s="9"/>
      <c r="B248" s="9"/>
      <c r="C248" s="9"/>
      <c r="D248" s="9"/>
      <c r="E248" s="14" t="str">
        <f aca="false">IF(OR(C248="",D248=""),"",IF(EXACT(C248,D248),1,0))</f>
        <v/>
      </c>
      <c r="F248" s="9"/>
    </row>
    <row r="249" customFormat="false" ht="15" hidden="false" customHeight="false" outlineLevel="0" collapsed="false">
      <c r="A249" s="9"/>
      <c r="B249" s="9"/>
      <c r="C249" s="9"/>
      <c r="D249" s="9"/>
      <c r="E249" s="14" t="str">
        <f aca="false">IF(OR(C249="",D249=""),"",IF(EXACT(C249,D249),1,0))</f>
        <v/>
      </c>
      <c r="F249" s="9"/>
    </row>
    <row r="250" customFormat="false" ht="15" hidden="false" customHeight="false" outlineLevel="0" collapsed="false">
      <c r="A250" s="9"/>
      <c r="B250" s="9"/>
      <c r="C250" s="9"/>
      <c r="D250" s="9"/>
      <c r="E250" s="14" t="str">
        <f aca="false">IF(OR(C250="",D250=""),"",IF(EXACT(C250,D250),1,0))</f>
        <v/>
      </c>
      <c r="F250" s="9"/>
    </row>
    <row r="251" customFormat="false" ht="15" hidden="false" customHeight="false" outlineLevel="0" collapsed="false">
      <c r="A251" s="9"/>
      <c r="B251" s="9"/>
      <c r="C251" s="9"/>
      <c r="D251" s="9"/>
      <c r="E251" s="14" t="str">
        <f aca="false">IF(OR(C251="",D251=""),"",IF(EXACT(C251,D251),1,0))</f>
        <v/>
      </c>
      <c r="F251" s="9"/>
    </row>
    <row r="252" customFormat="false" ht="15" hidden="false" customHeight="false" outlineLevel="0" collapsed="false">
      <c r="A252" s="9"/>
      <c r="B252" s="9"/>
      <c r="C252" s="9"/>
      <c r="D252" s="9"/>
      <c r="E252" s="14" t="str">
        <f aca="false">IF(OR(C252="",D252=""),"",IF(EXACT(C252,D252),1,0))</f>
        <v/>
      </c>
      <c r="F252" s="9"/>
    </row>
    <row r="253" customFormat="false" ht="15" hidden="false" customHeight="false" outlineLevel="0" collapsed="false">
      <c r="A253" s="9"/>
      <c r="B253" s="9"/>
      <c r="C253" s="9"/>
      <c r="D253" s="9"/>
      <c r="E253" s="14" t="str">
        <f aca="false">IF(OR(C253="",D253=""),"",IF(EXACT(C253,D253),1,0))</f>
        <v/>
      </c>
      <c r="F253" s="9"/>
    </row>
    <row r="254" customFormat="false" ht="15" hidden="false" customHeight="false" outlineLevel="0" collapsed="false">
      <c r="A254" s="9"/>
      <c r="B254" s="9"/>
      <c r="C254" s="9"/>
      <c r="D254" s="9"/>
      <c r="E254" s="14" t="str">
        <f aca="false">IF(OR(C254="",D254=""),"",IF(EXACT(C254,D254),1,0))</f>
        <v/>
      </c>
      <c r="F254" s="9"/>
    </row>
    <row r="255" customFormat="false" ht="15" hidden="false" customHeight="false" outlineLevel="0" collapsed="false">
      <c r="A255" s="9"/>
      <c r="B255" s="9"/>
      <c r="C255" s="9"/>
      <c r="D255" s="9"/>
      <c r="E255" s="14" t="str">
        <f aca="false">IF(OR(C255="",D255=""),"",IF(EXACT(C255,D255),1,0))</f>
        <v/>
      </c>
      <c r="F255" s="9"/>
    </row>
    <row r="256" customFormat="false" ht="15" hidden="false" customHeight="false" outlineLevel="0" collapsed="false">
      <c r="A256" s="9"/>
      <c r="B256" s="9"/>
      <c r="C256" s="9"/>
      <c r="D256" s="9"/>
      <c r="E256" s="14" t="str">
        <f aca="false">IF(OR(C256="",D256=""),"",IF(EXACT(C256,D256),1,0))</f>
        <v/>
      </c>
      <c r="F256" s="9"/>
    </row>
    <row r="257" customFormat="false" ht="15" hidden="false" customHeight="false" outlineLevel="0" collapsed="false">
      <c r="A257" s="9"/>
      <c r="B257" s="9"/>
      <c r="C257" s="9"/>
      <c r="D257" s="9"/>
      <c r="E257" s="14" t="str">
        <f aca="false">IF(OR(C257="",D257=""),"",IF(EXACT(C257,D257),1,0))</f>
        <v/>
      </c>
      <c r="F257" s="9"/>
    </row>
    <row r="258" customFormat="false" ht="15" hidden="false" customHeight="false" outlineLevel="0" collapsed="false">
      <c r="A258" s="9"/>
      <c r="B258" s="9"/>
      <c r="C258" s="9"/>
      <c r="D258" s="9"/>
      <c r="E258" s="14" t="str">
        <f aca="false">IF(OR(C258="",D258=""),"",IF(EXACT(C258,D258),1,0))</f>
        <v/>
      </c>
      <c r="F258" s="9"/>
    </row>
    <row r="259" customFormat="false" ht="15" hidden="false" customHeight="false" outlineLevel="0" collapsed="false">
      <c r="A259" s="9"/>
      <c r="B259" s="9"/>
      <c r="C259" s="9"/>
      <c r="D259" s="9"/>
      <c r="E259" s="14" t="str">
        <f aca="false">IF(OR(C259="",D259=""),"",IF(EXACT(C259,D259),1,0))</f>
        <v/>
      </c>
      <c r="F259" s="9"/>
    </row>
    <row r="260" customFormat="false" ht="15" hidden="false" customHeight="false" outlineLevel="0" collapsed="false">
      <c r="A260" s="9"/>
      <c r="B260" s="9"/>
      <c r="C260" s="9"/>
      <c r="D260" s="9"/>
      <c r="E260" s="14" t="str">
        <f aca="false">IF(OR(C260="",D260=""),"",IF(EXACT(C260,D260),1,0))</f>
        <v/>
      </c>
      <c r="F260" s="9"/>
    </row>
    <row r="261" customFormat="false" ht="15" hidden="false" customHeight="false" outlineLevel="0" collapsed="false">
      <c r="A261" s="9"/>
      <c r="B261" s="9"/>
      <c r="C261" s="9"/>
      <c r="D261" s="9"/>
      <c r="E261" s="14" t="str">
        <f aca="false">IF(OR(C261="",D261=""),"",IF(EXACT(C261,D261),1,0))</f>
        <v/>
      </c>
      <c r="F261" s="9"/>
    </row>
    <row r="262" customFormat="false" ht="15" hidden="false" customHeight="false" outlineLevel="0" collapsed="false">
      <c r="A262" s="9"/>
      <c r="B262" s="9"/>
      <c r="C262" s="9"/>
      <c r="D262" s="9"/>
      <c r="E262" s="14" t="str">
        <f aca="false">IF(OR(C262="",D262=""),"",IF(EXACT(C262,D262),1,0))</f>
        <v/>
      </c>
      <c r="F262" s="9"/>
    </row>
    <row r="263" customFormat="false" ht="15" hidden="false" customHeight="false" outlineLevel="0" collapsed="false">
      <c r="A263" s="9"/>
      <c r="B263" s="9"/>
      <c r="C263" s="9"/>
      <c r="D263" s="9"/>
      <c r="E263" s="14" t="str">
        <f aca="false">IF(OR(C263="",D263=""),"",IF(EXACT(C263,D263),1,0))</f>
        <v/>
      </c>
      <c r="F263" s="9"/>
    </row>
    <row r="264" customFormat="false" ht="15" hidden="false" customHeight="false" outlineLevel="0" collapsed="false">
      <c r="A264" s="9"/>
      <c r="B264" s="9"/>
      <c r="C264" s="9"/>
      <c r="D264" s="9"/>
      <c r="E264" s="14" t="str">
        <f aca="false">IF(OR(C264="",D264=""),"",IF(EXACT(C264,D264),1,0))</f>
        <v/>
      </c>
      <c r="F264" s="9"/>
    </row>
    <row r="265" customFormat="false" ht="15" hidden="false" customHeight="false" outlineLevel="0" collapsed="false">
      <c r="A265" s="9"/>
      <c r="B265" s="9"/>
      <c r="C265" s="9"/>
      <c r="D265" s="9"/>
      <c r="E265" s="14" t="str">
        <f aca="false">IF(OR(C265="",D265=""),"",IF(EXACT(C265,D265),1,0))</f>
        <v/>
      </c>
      <c r="F265" s="9"/>
    </row>
    <row r="266" customFormat="false" ht="15" hidden="false" customHeight="false" outlineLevel="0" collapsed="false">
      <c r="A266" s="9"/>
      <c r="B266" s="9"/>
      <c r="C266" s="9"/>
      <c r="D266" s="9"/>
      <c r="E266" s="14" t="str">
        <f aca="false">IF(OR(C266="",D266=""),"",IF(EXACT(C266,D266),1,0))</f>
        <v/>
      </c>
      <c r="F266" s="9"/>
    </row>
    <row r="267" customFormat="false" ht="15" hidden="false" customHeight="false" outlineLevel="0" collapsed="false">
      <c r="A267" s="9"/>
      <c r="B267" s="9"/>
      <c r="C267" s="9"/>
      <c r="D267" s="9"/>
      <c r="E267" s="14" t="str">
        <f aca="false">IF(OR(C267="",D267=""),"",IF(EXACT(C267,D267),1,0))</f>
        <v/>
      </c>
      <c r="F267" s="9"/>
    </row>
    <row r="268" customFormat="false" ht="15" hidden="false" customHeight="false" outlineLevel="0" collapsed="false">
      <c r="A268" s="9"/>
      <c r="B268" s="9"/>
      <c r="C268" s="9"/>
      <c r="D268" s="9"/>
      <c r="E268" s="14" t="str">
        <f aca="false">IF(OR(C268="",D268=""),"",IF(EXACT(C268,D268),1,0))</f>
        <v/>
      </c>
      <c r="F268" s="9"/>
    </row>
    <row r="269" customFormat="false" ht="15" hidden="false" customHeight="false" outlineLevel="0" collapsed="false">
      <c r="A269" s="9"/>
      <c r="B269" s="9"/>
      <c r="C269" s="9"/>
      <c r="D269" s="9"/>
      <c r="E269" s="14" t="str">
        <f aca="false">IF(OR(C269="",D269=""),"",IF(EXACT(C269,D269),1,0))</f>
        <v/>
      </c>
      <c r="F269" s="9"/>
    </row>
    <row r="270" customFormat="false" ht="15" hidden="false" customHeight="false" outlineLevel="0" collapsed="false">
      <c r="A270" s="9"/>
      <c r="B270" s="9"/>
      <c r="C270" s="9"/>
      <c r="D270" s="9"/>
      <c r="E270" s="14" t="str">
        <f aca="false">IF(OR(C270="",D270=""),"",IF(EXACT(C270,D270),1,0))</f>
        <v/>
      </c>
      <c r="F270" s="9"/>
    </row>
    <row r="271" customFormat="false" ht="15" hidden="false" customHeight="false" outlineLevel="0" collapsed="false">
      <c r="A271" s="9"/>
      <c r="B271" s="9"/>
      <c r="C271" s="9"/>
      <c r="D271" s="9"/>
      <c r="E271" s="14" t="str">
        <f aca="false">IF(OR(C271="",D271=""),"",IF(EXACT(C271,D271),1,0))</f>
        <v/>
      </c>
      <c r="F271" s="9"/>
    </row>
    <row r="272" customFormat="false" ht="15" hidden="false" customHeight="false" outlineLevel="0" collapsed="false">
      <c r="A272" s="9"/>
      <c r="B272" s="9"/>
      <c r="C272" s="9"/>
      <c r="D272" s="9"/>
      <c r="E272" s="14" t="str">
        <f aca="false">IF(OR(C272="",D272=""),"",IF(EXACT(C272,D272),1,0))</f>
        <v/>
      </c>
      <c r="F272" s="9"/>
    </row>
    <row r="273" customFormat="false" ht="15" hidden="false" customHeight="false" outlineLevel="0" collapsed="false">
      <c r="A273" s="9"/>
      <c r="B273" s="9"/>
      <c r="C273" s="9"/>
      <c r="D273" s="9"/>
      <c r="E273" s="14" t="str">
        <f aca="false">IF(OR(C273="",D273=""),"",IF(EXACT(C273,D273),1,0))</f>
        <v/>
      </c>
      <c r="F273" s="9"/>
    </row>
    <row r="274" customFormat="false" ht="15" hidden="false" customHeight="false" outlineLevel="0" collapsed="false">
      <c r="A274" s="9"/>
      <c r="B274" s="9"/>
      <c r="C274" s="9"/>
      <c r="D274" s="9"/>
      <c r="E274" s="14" t="str">
        <f aca="false">IF(OR(C274="",D274=""),"",IF(EXACT(C274,D274),1,0))</f>
        <v/>
      </c>
      <c r="F274" s="9"/>
    </row>
    <row r="275" customFormat="false" ht="15" hidden="false" customHeight="false" outlineLevel="0" collapsed="false">
      <c r="A275" s="9"/>
      <c r="B275" s="9"/>
      <c r="C275" s="9"/>
      <c r="D275" s="9"/>
      <c r="E275" s="14" t="str">
        <f aca="false">IF(OR(C275="",D275=""),"",IF(EXACT(C275,D275),1,0))</f>
        <v/>
      </c>
      <c r="F275" s="9"/>
    </row>
    <row r="276" customFormat="false" ht="15" hidden="false" customHeight="false" outlineLevel="0" collapsed="false">
      <c r="A276" s="9"/>
      <c r="B276" s="9"/>
      <c r="C276" s="9"/>
      <c r="D276" s="9"/>
      <c r="E276" s="14" t="str">
        <f aca="false">IF(OR(C276="",D276=""),"",IF(EXACT(C276,D276),1,0))</f>
        <v/>
      </c>
      <c r="F276" s="9"/>
    </row>
    <row r="277" customFormat="false" ht="15" hidden="false" customHeight="false" outlineLevel="0" collapsed="false">
      <c r="A277" s="9"/>
      <c r="B277" s="9"/>
      <c r="C277" s="9"/>
      <c r="D277" s="9"/>
      <c r="E277" s="14" t="str">
        <f aca="false">IF(OR(C277="",D277=""),"",IF(EXACT(C277,D277),1,0))</f>
        <v/>
      </c>
      <c r="F277" s="9"/>
    </row>
    <row r="278" customFormat="false" ht="15" hidden="false" customHeight="false" outlineLevel="0" collapsed="false">
      <c r="A278" s="9"/>
      <c r="B278" s="9"/>
      <c r="C278" s="9"/>
      <c r="D278" s="9"/>
      <c r="E278" s="14" t="str">
        <f aca="false">IF(OR(C278="",D278=""),"",IF(EXACT(C278,D278),1,0))</f>
        <v/>
      </c>
      <c r="F278" s="9"/>
    </row>
    <row r="279" customFormat="false" ht="15" hidden="false" customHeight="false" outlineLevel="0" collapsed="false">
      <c r="A279" s="9"/>
      <c r="B279" s="9"/>
      <c r="C279" s="9"/>
      <c r="D279" s="9"/>
      <c r="E279" s="14" t="str">
        <f aca="false">IF(OR(C279="",D279=""),"",IF(EXACT(C279,D279),1,0))</f>
        <v/>
      </c>
      <c r="F279" s="9"/>
    </row>
    <row r="280" customFormat="false" ht="15" hidden="false" customHeight="false" outlineLevel="0" collapsed="false">
      <c r="A280" s="9"/>
      <c r="B280" s="9"/>
      <c r="C280" s="9"/>
      <c r="D280" s="9"/>
      <c r="E280" s="14" t="str">
        <f aca="false">IF(OR(C280="",D280=""),"",IF(EXACT(C280,D280),1,0))</f>
        <v/>
      </c>
      <c r="F280" s="9"/>
    </row>
    <row r="281" customFormat="false" ht="15" hidden="false" customHeight="false" outlineLevel="0" collapsed="false">
      <c r="A281" s="9"/>
      <c r="B281" s="9"/>
      <c r="C281" s="9"/>
      <c r="D281" s="9"/>
      <c r="E281" s="14" t="str">
        <f aca="false">IF(OR(C281="",D281=""),"",IF(EXACT(C281,D281),1,0))</f>
        <v/>
      </c>
      <c r="F281" s="9"/>
    </row>
    <row r="282" customFormat="false" ht="15" hidden="false" customHeight="false" outlineLevel="0" collapsed="false">
      <c r="A282" s="9"/>
      <c r="B282" s="9"/>
      <c r="C282" s="9"/>
      <c r="D282" s="9"/>
      <c r="E282" s="14" t="str">
        <f aca="false">IF(OR(C282="",D282=""),"",IF(EXACT(C282,D282),1,0))</f>
        <v/>
      </c>
      <c r="F282" s="9"/>
    </row>
    <row r="283" customFormat="false" ht="15" hidden="false" customHeight="false" outlineLevel="0" collapsed="false">
      <c r="A283" s="9"/>
      <c r="B283" s="9"/>
      <c r="C283" s="9"/>
      <c r="D283" s="9"/>
      <c r="E283" s="14" t="str">
        <f aca="false">IF(OR(C283="",D283=""),"",IF(EXACT(C283,D283),1,0))</f>
        <v/>
      </c>
      <c r="F283" s="9"/>
    </row>
    <row r="284" customFormat="false" ht="15" hidden="false" customHeight="false" outlineLevel="0" collapsed="false">
      <c r="A284" s="9"/>
      <c r="B284" s="9"/>
      <c r="C284" s="9"/>
      <c r="D284" s="9"/>
      <c r="E284" s="14" t="str">
        <f aca="false">IF(OR(C284="",D284=""),"",IF(EXACT(C284,D284),1,0))</f>
        <v/>
      </c>
      <c r="F284" s="9"/>
    </row>
    <row r="285" customFormat="false" ht="15" hidden="false" customHeight="false" outlineLevel="0" collapsed="false">
      <c r="A285" s="9"/>
      <c r="B285" s="9"/>
      <c r="C285" s="9"/>
      <c r="D285" s="9"/>
      <c r="E285" s="14" t="str">
        <f aca="false">IF(OR(C285="",D285=""),"",IF(EXACT(C285,D285),1,0))</f>
        <v/>
      </c>
      <c r="F285" s="9"/>
    </row>
    <row r="286" customFormat="false" ht="15" hidden="false" customHeight="false" outlineLevel="0" collapsed="false">
      <c r="A286" s="9"/>
      <c r="B286" s="9"/>
      <c r="C286" s="9"/>
      <c r="D286" s="9"/>
      <c r="E286" s="14" t="str">
        <f aca="false">IF(OR(C286="",D286=""),"",IF(EXACT(C286,D286),1,0))</f>
        <v/>
      </c>
      <c r="F286" s="9"/>
    </row>
    <row r="287" customFormat="false" ht="15" hidden="false" customHeight="false" outlineLevel="0" collapsed="false">
      <c r="A287" s="9"/>
      <c r="B287" s="9"/>
      <c r="C287" s="9"/>
      <c r="D287" s="9"/>
      <c r="E287" s="14" t="str">
        <f aca="false">IF(OR(C287="",D287=""),"",IF(EXACT(C287,D287),1,0))</f>
        <v/>
      </c>
      <c r="F287" s="9"/>
    </row>
    <row r="288" customFormat="false" ht="15" hidden="false" customHeight="false" outlineLevel="0" collapsed="false">
      <c r="A288" s="9"/>
      <c r="B288" s="9"/>
      <c r="C288" s="9"/>
      <c r="D288" s="9"/>
      <c r="E288" s="14" t="str">
        <f aca="false">IF(OR(C288="",D288=""),"",IF(EXACT(C288,D288),1,0))</f>
        <v/>
      </c>
      <c r="F288" s="9"/>
    </row>
    <row r="289" customFormat="false" ht="15" hidden="false" customHeight="false" outlineLevel="0" collapsed="false">
      <c r="A289" s="9"/>
      <c r="B289" s="9"/>
      <c r="C289" s="9"/>
      <c r="D289" s="9"/>
      <c r="E289" s="14" t="str">
        <f aca="false">IF(OR(C289="",D289=""),"",IF(EXACT(C289,D289),1,0))</f>
        <v/>
      </c>
      <c r="F289" s="9"/>
    </row>
    <row r="290" customFormat="false" ht="15" hidden="false" customHeight="false" outlineLevel="0" collapsed="false">
      <c r="A290" s="9"/>
      <c r="B290" s="9"/>
      <c r="C290" s="9"/>
      <c r="D290" s="9"/>
      <c r="E290" s="14" t="str">
        <f aca="false">IF(OR(C290="",D290=""),"",IF(EXACT(C290,D290),1,0))</f>
        <v/>
      </c>
      <c r="F290" s="9"/>
    </row>
    <row r="291" customFormat="false" ht="15" hidden="false" customHeight="false" outlineLevel="0" collapsed="false">
      <c r="A291" s="9"/>
      <c r="B291" s="9"/>
      <c r="C291" s="9"/>
      <c r="D291" s="9"/>
      <c r="E291" s="14" t="str">
        <f aca="false">IF(OR(C291="",D291=""),"",IF(EXACT(C291,D291),1,0))</f>
        <v/>
      </c>
      <c r="F291" s="9"/>
    </row>
    <row r="292" customFormat="false" ht="15" hidden="false" customHeight="false" outlineLevel="0" collapsed="false">
      <c r="A292" s="9"/>
      <c r="B292" s="9"/>
      <c r="C292" s="9"/>
      <c r="D292" s="9"/>
      <c r="E292" s="14" t="str">
        <f aca="false">IF(OR(C292="",D292=""),"",IF(EXACT(C292,D292),1,0))</f>
        <v/>
      </c>
      <c r="F292" s="9"/>
    </row>
    <row r="293" customFormat="false" ht="15" hidden="false" customHeight="false" outlineLevel="0" collapsed="false">
      <c r="A293" s="9"/>
      <c r="B293" s="9"/>
      <c r="C293" s="9"/>
      <c r="D293" s="9"/>
      <c r="E293" s="14" t="str">
        <f aca="false">IF(OR(C293="",D293=""),"",IF(EXACT(C293,D293),1,0))</f>
        <v/>
      </c>
      <c r="F293" s="9"/>
    </row>
    <row r="294" customFormat="false" ht="15" hidden="false" customHeight="false" outlineLevel="0" collapsed="false">
      <c r="A294" s="9"/>
      <c r="B294" s="9"/>
      <c r="C294" s="9"/>
      <c r="D294" s="9"/>
      <c r="E294" s="14" t="str">
        <f aca="false">IF(OR(C294="",D294=""),"",IF(EXACT(C294,D294),1,0))</f>
        <v/>
      </c>
      <c r="F294" s="9"/>
    </row>
    <row r="295" customFormat="false" ht="15" hidden="false" customHeight="false" outlineLevel="0" collapsed="false">
      <c r="A295" s="9"/>
      <c r="B295" s="9"/>
      <c r="C295" s="9"/>
      <c r="D295" s="9"/>
      <c r="E295" s="14" t="str">
        <f aca="false">IF(OR(C295="",D295=""),"",IF(EXACT(C295,D295),1,0))</f>
        <v/>
      </c>
      <c r="F295" s="9"/>
    </row>
    <row r="296" customFormat="false" ht="15" hidden="false" customHeight="false" outlineLevel="0" collapsed="false">
      <c r="A296" s="9"/>
      <c r="B296" s="9"/>
      <c r="C296" s="9"/>
      <c r="D296" s="9"/>
      <c r="E296" s="14" t="str">
        <f aca="false">IF(OR(C296="",D296=""),"",IF(EXACT(C296,D296),1,0))</f>
        <v/>
      </c>
      <c r="F296" s="9"/>
    </row>
    <row r="297" customFormat="false" ht="15" hidden="false" customHeight="false" outlineLevel="0" collapsed="false">
      <c r="A297" s="9"/>
      <c r="B297" s="9"/>
      <c r="C297" s="9"/>
      <c r="D297" s="9"/>
      <c r="E297" s="14" t="str">
        <f aca="false">IF(OR(C297="",D297=""),"",IF(EXACT(C297,D297),1,0))</f>
        <v/>
      </c>
      <c r="F297" s="9"/>
    </row>
    <row r="298" customFormat="false" ht="15" hidden="false" customHeight="false" outlineLevel="0" collapsed="false">
      <c r="A298" s="9"/>
      <c r="B298" s="9"/>
      <c r="C298" s="9"/>
      <c r="D298" s="9"/>
      <c r="E298" s="14" t="str">
        <f aca="false">IF(OR(C298="",D298=""),"",IF(EXACT(C298,D298),1,0))</f>
        <v/>
      </c>
      <c r="F298" s="9"/>
    </row>
    <row r="299" customFormat="false" ht="15" hidden="false" customHeight="false" outlineLevel="0" collapsed="false">
      <c r="A299" s="9"/>
      <c r="B299" s="9"/>
      <c r="C299" s="9"/>
      <c r="D299" s="9"/>
      <c r="E299" s="14" t="str">
        <f aca="false">IF(OR(C299="",D299=""),"",IF(EXACT(C299,D299),1,0))</f>
        <v/>
      </c>
      <c r="F299" s="9"/>
    </row>
    <row r="300" customFormat="false" ht="15" hidden="false" customHeight="false" outlineLevel="0" collapsed="false">
      <c r="A300" s="9"/>
      <c r="B300" s="9"/>
      <c r="C300" s="9"/>
      <c r="D300" s="9"/>
      <c r="E300" s="14" t="str">
        <f aca="false">IF(OR(C300="",D300=""),"",IF(EXACT(C300,D300),1,0))</f>
        <v/>
      </c>
      <c r="F300" s="9"/>
    </row>
    <row r="301" customFormat="false" ht="15" hidden="false" customHeight="false" outlineLevel="0" collapsed="false">
      <c r="A301" s="9"/>
      <c r="B301" s="9"/>
      <c r="C301" s="9"/>
      <c r="D301" s="9"/>
      <c r="E301" s="14" t="str">
        <f aca="false">IF(OR(C301="",D301=""),"",IF(EXACT(C301,D301),1,0))</f>
        <v/>
      </c>
      <c r="F301" s="9"/>
    </row>
    <row r="302" customFormat="false" ht="15" hidden="false" customHeight="false" outlineLevel="0" collapsed="false">
      <c r="A302" s="9"/>
      <c r="B302" s="9"/>
      <c r="C302" s="9"/>
      <c r="D302" s="9"/>
      <c r="E302" s="14" t="str">
        <f aca="false">IF(OR(C302="",D302=""),"",IF(EXACT(C302,D302),1,0))</f>
        <v/>
      </c>
      <c r="F302" s="9"/>
    </row>
    <row r="303" customFormat="false" ht="15" hidden="false" customHeight="false" outlineLevel="0" collapsed="false">
      <c r="A303" s="9"/>
      <c r="B303" s="9"/>
      <c r="C303" s="9"/>
      <c r="D303" s="9"/>
      <c r="E303" s="14" t="str">
        <f aca="false">IF(OR(C303="",D303=""),"",IF(EXACT(C303,D303),1,0))</f>
        <v/>
      </c>
      <c r="F303" s="9"/>
    </row>
    <row r="304" customFormat="false" ht="15" hidden="false" customHeight="false" outlineLevel="0" collapsed="false">
      <c r="A304" s="9"/>
      <c r="B304" s="9"/>
      <c r="C304" s="9"/>
      <c r="D304" s="9"/>
      <c r="E304" s="14" t="str">
        <f aca="false">IF(OR(C304="",D304=""),"",IF(EXACT(C304,D304),1,0))</f>
        <v/>
      </c>
      <c r="F304" s="9"/>
    </row>
    <row r="305" customFormat="false" ht="15" hidden="false" customHeight="false" outlineLevel="0" collapsed="false">
      <c r="A305" s="9"/>
      <c r="B305" s="9"/>
      <c r="C305" s="9"/>
      <c r="D305" s="9"/>
      <c r="E305" s="14" t="str">
        <f aca="false">IF(OR(C305="",D305=""),"",IF(EXACT(C305,D305),1,0))</f>
        <v/>
      </c>
      <c r="F305" s="9"/>
    </row>
    <row r="306" customFormat="false" ht="15" hidden="false" customHeight="false" outlineLevel="0" collapsed="false">
      <c r="A306" s="9"/>
      <c r="B306" s="9"/>
      <c r="C306" s="9"/>
      <c r="D306" s="9"/>
      <c r="E306" s="14" t="str">
        <f aca="false">IF(OR(C306="",D306=""),"",IF(EXACT(C306,D306),1,0))</f>
        <v/>
      </c>
      <c r="F306" s="9"/>
    </row>
    <row r="307" customFormat="false" ht="15" hidden="false" customHeight="false" outlineLevel="0" collapsed="false">
      <c r="A307" s="9"/>
      <c r="B307" s="9"/>
      <c r="C307" s="9"/>
      <c r="D307" s="9"/>
      <c r="E307" s="14" t="str">
        <f aca="false">IF(OR(C307="",D307=""),"",IF(EXACT(C307,D307),1,0))</f>
        <v/>
      </c>
      <c r="F307" s="9"/>
    </row>
    <row r="308" customFormat="false" ht="15" hidden="false" customHeight="false" outlineLevel="0" collapsed="false">
      <c r="A308" s="9"/>
      <c r="B308" s="9"/>
      <c r="C308" s="9"/>
      <c r="D308" s="9"/>
      <c r="E308" s="14" t="str">
        <f aca="false">IF(OR(C308="",D308=""),"",IF(EXACT(C308,D308),1,0))</f>
        <v/>
      </c>
      <c r="F308" s="9"/>
    </row>
    <row r="309" customFormat="false" ht="15" hidden="false" customHeight="false" outlineLevel="0" collapsed="false">
      <c r="A309" s="9"/>
      <c r="B309" s="9"/>
      <c r="C309" s="9"/>
      <c r="D309" s="9"/>
      <c r="E309" s="14" t="str">
        <f aca="false">IF(OR(C309="",D309=""),"",IF(EXACT(C309,D309),1,0))</f>
        <v/>
      </c>
      <c r="F309" s="9"/>
    </row>
    <row r="310" customFormat="false" ht="15" hidden="false" customHeight="false" outlineLevel="0" collapsed="false">
      <c r="A310" s="9"/>
      <c r="B310" s="9"/>
      <c r="C310" s="9"/>
      <c r="D310" s="9"/>
      <c r="E310" s="14" t="str">
        <f aca="false">IF(OR(C310="",D310=""),"",IF(EXACT(C310,D310),1,0))</f>
        <v/>
      </c>
      <c r="F310" s="9"/>
    </row>
    <row r="311" customFormat="false" ht="15" hidden="false" customHeight="false" outlineLevel="0" collapsed="false">
      <c r="A311" s="9"/>
      <c r="B311" s="9"/>
      <c r="C311" s="9"/>
      <c r="D311" s="9"/>
      <c r="E311" s="14" t="str">
        <f aca="false">IF(OR(C311="",D311=""),"",IF(EXACT(C311,D311),1,0))</f>
        <v/>
      </c>
      <c r="F311" s="9"/>
    </row>
    <row r="312" customFormat="false" ht="15" hidden="false" customHeight="false" outlineLevel="0" collapsed="false">
      <c r="A312" s="9"/>
      <c r="B312" s="9"/>
      <c r="C312" s="9"/>
      <c r="D312" s="9"/>
      <c r="E312" s="14" t="str">
        <f aca="false">IF(OR(C312="",D312=""),"",IF(EXACT(C312,D312),1,0))</f>
        <v/>
      </c>
      <c r="F312" s="9"/>
    </row>
    <row r="313" customFormat="false" ht="15" hidden="false" customHeight="false" outlineLevel="0" collapsed="false">
      <c r="A313" s="9"/>
      <c r="B313" s="9"/>
      <c r="C313" s="9"/>
      <c r="D313" s="9"/>
      <c r="E313" s="14" t="str">
        <f aca="false">IF(OR(C313="",D313=""),"",IF(EXACT(C313,D313),1,0))</f>
        <v/>
      </c>
      <c r="F313" s="9"/>
    </row>
    <row r="314" customFormat="false" ht="15" hidden="false" customHeight="false" outlineLevel="0" collapsed="false">
      <c r="A314" s="9"/>
      <c r="B314" s="9"/>
      <c r="C314" s="9"/>
      <c r="D314" s="9"/>
      <c r="E314" s="14" t="str">
        <f aca="false">IF(OR(C314="",D314=""),"",IF(EXACT(C314,D314),1,0))</f>
        <v/>
      </c>
      <c r="F314" s="9"/>
    </row>
    <row r="315" customFormat="false" ht="15" hidden="false" customHeight="false" outlineLevel="0" collapsed="false">
      <c r="A315" s="9"/>
      <c r="B315" s="9"/>
      <c r="C315" s="9"/>
      <c r="D315" s="9"/>
      <c r="E315" s="14" t="str">
        <f aca="false">IF(OR(C315="",D315=""),"",IF(EXACT(C315,D315),1,0))</f>
        <v/>
      </c>
      <c r="F315" s="9"/>
    </row>
    <row r="316" customFormat="false" ht="15" hidden="false" customHeight="false" outlineLevel="0" collapsed="false">
      <c r="A316" s="9"/>
      <c r="B316" s="9"/>
      <c r="C316" s="9"/>
      <c r="D316" s="9"/>
      <c r="E316" s="14" t="str">
        <f aca="false">IF(OR(C316="",D316=""),"",IF(EXACT(C316,D316),1,0))</f>
        <v/>
      </c>
      <c r="F316" s="9"/>
    </row>
    <row r="317" customFormat="false" ht="15" hidden="false" customHeight="false" outlineLevel="0" collapsed="false">
      <c r="A317" s="9"/>
      <c r="B317" s="9"/>
      <c r="C317" s="9"/>
      <c r="D317" s="9"/>
      <c r="E317" s="14" t="str">
        <f aca="false">IF(OR(C317="",D317=""),"",IF(EXACT(C317,D317),1,0))</f>
        <v/>
      </c>
      <c r="F317" s="9"/>
    </row>
    <row r="318" customFormat="false" ht="15" hidden="false" customHeight="false" outlineLevel="0" collapsed="false">
      <c r="A318" s="9"/>
      <c r="B318" s="9"/>
      <c r="C318" s="9"/>
      <c r="D318" s="9"/>
      <c r="E318" s="14" t="str">
        <f aca="false">IF(OR(C318="",D318=""),"",IF(EXACT(C318,D318),1,0))</f>
        <v/>
      </c>
      <c r="F318" s="9"/>
    </row>
    <row r="319" customFormat="false" ht="15" hidden="false" customHeight="false" outlineLevel="0" collapsed="false">
      <c r="A319" s="9"/>
      <c r="B319" s="9"/>
      <c r="C319" s="9"/>
      <c r="D319" s="9"/>
      <c r="E319" s="14" t="str">
        <f aca="false">IF(OR(C319="",D319=""),"",IF(EXACT(C319,D319),1,0))</f>
        <v/>
      </c>
      <c r="F319" s="9"/>
    </row>
    <row r="320" customFormat="false" ht="15" hidden="false" customHeight="false" outlineLevel="0" collapsed="false">
      <c r="A320" s="9"/>
      <c r="B320" s="9"/>
      <c r="C320" s="9"/>
      <c r="D320" s="9"/>
      <c r="E320" s="14" t="str">
        <f aca="false">IF(OR(C320="",D320=""),"",IF(EXACT(C320,D320),1,0))</f>
        <v/>
      </c>
      <c r="F320" s="9"/>
    </row>
    <row r="321" customFormat="false" ht="15" hidden="false" customHeight="false" outlineLevel="0" collapsed="false">
      <c r="A321" s="9"/>
      <c r="B321" s="9"/>
      <c r="C321" s="9"/>
      <c r="D321" s="9"/>
      <c r="E321" s="14" t="str">
        <f aca="false">IF(OR(C321="",D321=""),"",IF(EXACT(C321,D321),1,0))</f>
        <v/>
      </c>
      <c r="F321" s="9"/>
    </row>
    <row r="322" customFormat="false" ht="15" hidden="false" customHeight="false" outlineLevel="0" collapsed="false">
      <c r="A322" s="9"/>
      <c r="B322" s="9"/>
      <c r="C322" s="9"/>
      <c r="D322" s="9"/>
      <c r="E322" s="14" t="str">
        <f aca="false">IF(OR(C322="",D322=""),"",IF(EXACT(C322,D322),1,0))</f>
        <v/>
      </c>
      <c r="F322" s="9"/>
    </row>
    <row r="323" customFormat="false" ht="15" hidden="false" customHeight="false" outlineLevel="0" collapsed="false">
      <c r="A323" s="9"/>
      <c r="B323" s="9"/>
      <c r="C323" s="9"/>
      <c r="D323" s="9"/>
      <c r="E323" s="14" t="str">
        <f aca="false">IF(OR(C323="",D323=""),"",IF(EXACT(C323,D323),1,0))</f>
        <v/>
      </c>
      <c r="F323" s="9"/>
    </row>
    <row r="324" customFormat="false" ht="15" hidden="false" customHeight="false" outlineLevel="0" collapsed="false">
      <c r="A324" s="9"/>
      <c r="B324" s="9"/>
      <c r="C324" s="9"/>
      <c r="D324" s="9"/>
      <c r="E324" s="14" t="str">
        <f aca="false">IF(OR(C324="",D324=""),"",IF(EXACT(C324,D324),1,0))</f>
        <v/>
      </c>
      <c r="F324" s="9"/>
    </row>
    <row r="325" customFormat="false" ht="15" hidden="false" customHeight="false" outlineLevel="0" collapsed="false">
      <c r="A325" s="9"/>
      <c r="B325" s="9"/>
      <c r="C325" s="9"/>
      <c r="D325" s="9"/>
      <c r="E325" s="14" t="str">
        <f aca="false">IF(OR(C325="",D325=""),"",IF(EXACT(C325,D325),1,0))</f>
        <v/>
      </c>
      <c r="F325" s="9"/>
    </row>
    <row r="326" customFormat="false" ht="15" hidden="false" customHeight="false" outlineLevel="0" collapsed="false">
      <c r="A326" s="9"/>
      <c r="B326" s="9"/>
      <c r="C326" s="9"/>
      <c r="D326" s="9"/>
      <c r="E326" s="14" t="str">
        <f aca="false">IF(OR(C326="",D326=""),"",IF(EXACT(C326,D326),1,0))</f>
        <v/>
      </c>
      <c r="F326" s="9"/>
    </row>
    <row r="327" customFormat="false" ht="15" hidden="false" customHeight="false" outlineLevel="0" collapsed="false">
      <c r="A327" s="9"/>
      <c r="B327" s="9"/>
      <c r="C327" s="9"/>
      <c r="D327" s="9"/>
      <c r="E327" s="14" t="str">
        <f aca="false">IF(OR(C327="",D327=""),"",IF(EXACT(C327,D327),1,0))</f>
        <v/>
      </c>
      <c r="F327" s="9"/>
    </row>
    <row r="328" customFormat="false" ht="15" hidden="false" customHeight="false" outlineLevel="0" collapsed="false">
      <c r="A328" s="9"/>
      <c r="B328" s="9"/>
      <c r="C328" s="9"/>
      <c r="D328" s="9"/>
      <c r="E328" s="14" t="str">
        <f aca="false">IF(OR(C328="",D328=""),"",IF(EXACT(C328,D328),1,0))</f>
        <v/>
      </c>
      <c r="F328" s="9"/>
    </row>
    <row r="329" customFormat="false" ht="15" hidden="false" customHeight="false" outlineLevel="0" collapsed="false">
      <c r="A329" s="9"/>
      <c r="B329" s="9"/>
      <c r="C329" s="9"/>
      <c r="D329" s="9"/>
      <c r="E329" s="14" t="str">
        <f aca="false">IF(OR(C329="",D329=""),"",IF(EXACT(C329,D329),1,0))</f>
        <v/>
      </c>
      <c r="F329" s="9"/>
    </row>
    <row r="330" customFormat="false" ht="15" hidden="false" customHeight="false" outlineLevel="0" collapsed="false">
      <c r="A330" s="9"/>
      <c r="B330" s="9"/>
      <c r="C330" s="9"/>
      <c r="D330" s="9"/>
      <c r="E330" s="14" t="str">
        <f aca="false">IF(OR(C330="",D330=""),"",IF(EXACT(C330,D330),1,0))</f>
        <v/>
      </c>
      <c r="F330" s="9"/>
    </row>
    <row r="331" customFormat="false" ht="15" hidden="false" customHeight="false" outlineLevel="0" collapsed="false">
      <c r="A331" s="9"/>
      <c r="B331" s="9"/>
      <c r="C331" s="9"/>
      <c r="D331" s="9"/>
      <c r="E331" s="14" t="str">
        <f aca="false">IF(OR(C331="",D331=""),"",IF(EXACT(C331,D331),1,0))</f>
        <v/>
      </c>
      <c r="F331" s="9"/>
    </row>
    <row r="332" customFormat="false" ht="15" hidden="false" customHeight="false" outlineLevel="0" collapsed="false">
      <c r="A332" s="9"/>
      <c r="B332" s="9"/>
      <c r="C332" s="9"/>
      <c r="D332" s="9"/>
      <c r="E332" s="14" t="str">
        <f aca="false">IF(OR(C332="",D332=""),"",IF(EXACT(C332,D332),1,0))</f>
        <v/>
      </c>
      <c r="F332" s="9"/>
    </row>
    <row r="333" customFormat="false" ht="15" hidden="false" customHeight="false" outlineLevel="0" collapsed="false">
      <c r="A333" s="9"/>
      <c r="B333" s="9"/>
      <c r="C333" s="9"/>
      <c r="D333" s="9"/>
      <c r="E333" s="14" t="str">
        <f aca="false">IF(OR(C333="",D333=""),"",IF(EXACT(C333,D333),1,0))</f>
        <v/>
      </c>
      <c r="F333" s="9"/>
    </row>
    <row r="334" customFormat="false" ht="15" hidden="false" customHeight="false" outlineLevel="0" collapsed="false">
      <c r="A334" s="9"/>
      <c r="B334" s="9"/>
      <c r="C334" s="9"/>
      <c r="D334" s="9"/>
      <c r="E334" s="14" t="str">
        <f aca="false">IF(OR(C334="",D334=""),"",IF(EXACT(C334,D334),1,0))</f>
        <v/>
      </c>
      <c r="F334" s="9"/>
    </row>
    <row r="335" customFormat="false" ht="15" hidden="false" customHeight="false" outlineLevel="0" collapsed="false">
      <c r="A335" s="9"/>
      <c r="B335" s="9"/>
      <c r="C335" s="9"/>
      <c r="D335" s="9"/>
      <c r="E335" s="14" t="str">
        <f aca="false">IF(OR(C335="",D335=""),"",IF(EXACT(C335,D335),1,0))</f>
        <v/>
      </c>
      <c r="F335" s="9"/>
    </row>
    <row r="336" customFormat="false" ht="15" hidden="false" customHeight="false" outlineLevel="0" collapsed="false">
      <c r="A336" s="9"/>
      <c r="B336" s="9"/>
      <c r="C336" s="9"/>
      <c r="D336" s="9"/>
      <c r="E336" s="14" t="str">
        <f aca="false">IF(OR(C336="",D336=""),"",IF(EXACT(C336,D336),1,0))</f>
        <v/>
      </c>
      <c r="F336" s="9"/>
    </row>
    <row r="337" customFormat="false" ht="15" hidden="false" customHeight="false" outlineLevel="0" collapsed="false">
      <c r="A337" s="9"/>
      <c r="B337" s="9"/>
      <c r="C337" s="9"/>
      <c r="D337" s="9"/>
      <c r="E337" s="14" t="str">
        <f aca="false">IF(OR(C337="",D337=""),"",IF(EXACT(C337,D337),1,0))</f>
        <v/>
      </c>
      <c r="F337" s="9"/>
    </row>
    <row r="338" customFormat="false" ht="15" hidden="false" customHeight="false" outlineLevel="0" collapsed="false">
      <c r="A338" s="9"/>
      <c r="B338" s="9"/>
      <c r="C338" s="9"/>
      <c r="D338" s="9"/>
      <c r="E338" s="14" t="str">
        <f aca="false">IF(OR(C338="",D338=""),"",IF(EXACT(C338,D338),1,0))</f>
        <v/>
      </c>
      <c r="F338" s="9"/>
    </row>
    <row r="339" customFormat="false" ht="15" hidden="false" customHeight="false" outlineLevel="0" collapsed="false">
      <c r="A339" s="9"/>
      <c r="B339" s="9"/>
      <c r="C339" s="9"/>
      <c r="D339" s="9"/>
      <c r="E339" s="14" t="str">
        <f aca="false">IF(OR(C339="",D339=""),"",IF(EXACT(C339,D339),1,0))</f>
        <v/>
      </c>
      <c r="F339" s="9"/>
    </row>
    <row r="340" customFormat="false" ht="15" hidden="false" customHeight="false" outlineLevel="0" collapsed="false">
      <c r="A340" s="9"/>
      <c r="B340" s="9"/>
      <c r="C340" s="9"/>
      <c r="D340" s="9"/>
      <c r="E340" s="14" t="str">
        <f aca="false">IF(OR(C340="",D340=""),"",IF(EXACT(C340,D340),1,0))</f>
        <v/>
      </c>
      <c r="F340" s="9"/>
    </row>
    <row r="341" customFormat="false" ht="15" hidden="false" customHeight="false" outlineLevel="0" collapsed="false">
      <c r="A341" s="9"/>
      <c r="B341" s="9"/>
      <c r="C341" s="9"/>
      <c r="D341" s="9"/>
      <c r="E341" s="14" t="str">
        <f aca="false">IF(OR(C341="",D341=""),"",IF(EXACT(C341,D341),1,0))</f>
        <v/>
      </c>
      <c r="F341" s="9"/>
    </row>
    <row r="342" customFormat="false" ht="15" hidden="false" customHeight="false" outlineLevel="0" collapsed="false">
      <c r="A342" s="9"/>
      <c r="B342" s="9"/>
      <c r="C342" s="9"/>
      <c r="D342" s="9"/>
      <c r="E342" s="14" t="str">
        <f aca="false">IF(OR(C342="",D342=""),"",IF(EXACT(C342,D342),1,0))</f>
        <v/>
      </c>
      <c r="F342" s="9"/>
    </row>
    <row r="343" customFormat="false" ht="15" hidden="false" customHeight="false" outlineLevel="0" collapsed="false">
      <c r="A343" s="9"/>
      <c r="B343" s="9"/>
      <c r="C343" s="9"/>
      <c r="D343" s="9"/>
      <c r="E343" s="14" t="str">
        <f aca="false">IF(OR(C343="",D343=""),"",IF(EXACT(C343,D343),1,0))</f>
        <v/>
      </c>
      <c r="F343" s="9"/>
    </row>
    <row r="344" customFormat="false" ht="15" hidden="false" customHeight="false" outlineLevel="0" collapsed="false">
      <c r="A344" s="9"/>
      <c r="B344" s="9"/>
      <c r="C344" s="9"/>
      <c r="D344" s="9"/>
      <c r="E344" s="14" t="str">
        <f aca="false">IF(OR(C344="",D344=""),"",IF(EXACT(C344,D344),1,0))</f>
        <v/>
      </c>
      <c r="F344" s="9"/>
    </row>
    <row r="345" customFormat="false" ht="15" hidden="false" customHeight="false" outlineLevel="0" collapsed="false">
      <c r="A345" s="9"/>
      <c r="B345" s="9"/>
      <c r="C345" s="9"/>
      <c r="D345" s="9"/>
      <c r="E345" s="14" t="str">
        <f aca="false">IF(OR(C345="",D345=""),"",IF(EXACT(C345,D345),1,0))</f>
        <v/>
      </c>
      <c r="F345" s="9"/>
    </row>
    <row r="346" customFormat="false" ht="15" hidden="false" customHeight="false" outlineLevel="0" collapsed="false">
      <c r="A346" s="9"/>
      <c r="B346" s="9"/>
      <c r="C346" s="9"/>
      <c r="D346" s="9"/>
      <c r="E346" s="14" t="str">
        <f aca="false">IF(OR(C346="",D346=""),"",IF(EXACT(C346,D346),1,0))</f>
        <v/>
      </c>
      <c r="F346" s="9"/>
    </row>
    <row r="347" customFormat="false" ht="15" hidden="false" customHeight="false" outlineLevel="0" collapsed="false">
      <c r="A347" s="9"/>
      <c r="B347" s="9"/>
      <c r="C347" s="9"/>
      <c r="D347" s="9"/>
      <c r="E347" s="14" t="str">
        <f aca="false">IF(OR(C347="",D347=""),"",IF(EXACT(C347,D347),1,0))</f>
        <v/>
      </c>
      <c r="F347" s="9"/>
    </row>
    <row r="348" customFormat="false" ht="15" hidden="false" customHeight="false" outlineLevel="0" collapsed="false">
      <c r="A348" s="9"/>
      <c r="B348" s="9"/>
      <c r="C348" s="9"/>
      <c r="D348" s="9"/>
      <c r="E348" s="14" t="str">
        <f aca="false">IF(OR(C348="",D348=""),"",IF(EXACT(C348,D348),1,0))</f>
        <v/>
      </c>
      <c r="F348" s="9"/>
    </row>
    <row r="349" customFormat="false" ht="15" hidden="false" customHeight="false" outlineLevel="0" collapsed="false">
      <c r="A349" s="9"/>
      <c r="B349" s="9"/>
      <c r="C349" s="9"/>
      <c r="D349" s="9"/>
      <c r="E349" s="14" t="str">
        <f aca="false">IF(OR(C349="",D349=""),"",IF(EXACT(C349,D349),1,0))</f>
        <v/>
      </c>
      <c r="F349" s="9"/>
    </row>
    <row r="350" customFormat="false" ht="15" hidden="false" customHeight="false" outlineLevel="0" collapsed="false">
      <c r="A350" s="9"/>
      <c r="B350" s="9"/>
      <c r="C350" s="9"/>
      <c r="D350" s="9"/>
      <c r="E350" s="14" t="str">
        <f aca="false">IF(OR(C350="",D350=""),"",IF(EXACT(C350,D350),1,0))</f>
        <v/>
      </c>
      <c r="F350" s="9"/>
    </row>
    <row r="351" customFormat="false" ht="15" hidden="false" customHeight="false" outlineLevel="0" collapsed="false">
      <c r="A351" s="9"/>
      <c r="B351" s="9"/>
      <c r="C351" s="9"/>
      <c r="D351" s="9"/>
      <c r="E351" s="14" t="str">
        <f aca="false">IF(OR(C351="",D351=""),"",IF(EXACT(C351,D351),1,0))</f>
        <v/>
      </c>
      <c r="F351" s="9"/>
    </row>
    <row r="352" customFormat="false" ht="15" hidden="false" customHeight="false" outlineLevel="0" collapsed="false">
      <c r="A352" s="9"/>
      <c r="B352" s="9"/>
      <c r="C352" s="9"/>
      <c r="D352" s="9"/>
      <c r="E352" s="14" t="str">
        <f aca="false">IF(OR(C352="",D352=""),"",IF(EXACT(C352,D352),1,0))</f>
        <v/>
      </c>
      <c r="F352" s="9"/>
    </row>
    <row r="353" customFormat="false" ht="15" hidden="false" customHeight="false" outlineLevel="0" collapsed="false">
      <c r="A353" s="9"/>
      <c r="B353" s="9"/>
      <c r="C353" s="9"/>
      <c r="D353" s="9"/>
      <c r="E353" s="14" t="str">
        <f aca="false">IF(OR(C353="",D353=""),"",IF(EXACT(C353,D353),1,0))</f>
        <v/>
      </c>
      <c r="F353" s="9"/>
    </row>
    <row r="354" customFormat="false" ht="15" hidden="false" customHeight="false" outlineLevel="0" collapsed="false">
      <c r="A354" s="9"/>
      <c r="B354" s="9"/>
      <c r="C354" s="9"/>
      <c r="D354" s="9"/>
      <c r="E354" s="14" t="str">
        <f aca="false">IF(OR(C354="",D354=""),"",IF(EXACT(C354,D354),1,0))</f>
        <v/>
      </c>
      <c r="F354" s="9"/>
    </row>
    <row r="355" customFormat="false" ht="15" hidden="false" customHeight="false" outlineLevel="0" collapsed="false">
      <c r="A355" s="9"/>
      <c r="B355" s="9"/>
      <c r="C355" s="9"/>
      <c r="D355" s="9"/>
      <c r="E355" s="14" t="str">
        <f aca="false">IF(OR(C355="",D355=""),"",IF(EXACT(C355,D355),1,0))</f>
        <v/>
      </c>
      <c r="F355" s="9"/>
    </row>
    <row r="356" customFormat="false" ht="15" hidden="false" customHeight="false" outlineLevel="0" collapsed="false">
      <c r="A356" s="9"/>
      <c r="B356" s="9"/>
      <c r="C356" s="9"/>
      <c r="D356" s="9"/>
      <c r="E356" s="14" t="str">
        <f aca="false">IF(OR(C356="",D356=""),"",IF(EXACT(C356,D356),1,0))</f>
        <v/>
      </c>
      <c r="F356" s="9"/>
    </row>
    <row r="357" customFormat="false" ht="15" hidden="false" customHeight="false" outlineLevel="0" collapsed="false">
      <c r="A357" s="9"/>
      <c r="B357" s="9"/>
      <c r="C357" s="9"/>
      <c r="D357" s="9"/>
      <c r="E357" s="14" t="str">
        <f aca="false">IF(OR(C357="",D357=""),"",IF(EXACT(C357,D357),1,0))</f>
        <v/>
      </c>
      <c r="F357" s="9"/>
    </row>
    <row r="358" customFormat="false" ht="15" hidden="false" customHeight="false" outlineLevel="0" collapsed="false">
      <c r="A358" s="9"/>
      <c r="B358" s="9"/>
      <c r="C358" s="9"/>
      <c r="D358" s="9"/>
      <c r="E358" s="14" t="str">
        <f aca="false">IF(OR(C358="",D358=""),"",IF(EXACT(C358,D358),1,0))</f>
        <v/>
      </c>
      <c r="F358" s="9"/>
    </row>
    <row r="359" customFormat="false" ht="15" hidden="false" customHeight="false" outlineLevel="0" collapsed="false">
      <c r="A359" s="9"/>
      <c r="B359" s="9"/>
      <c r="C359" s="9"/>
      <c r="D359" s="9"/>
      <c r="E359" s="14" t="str">
        <f aca="false">IF(OR(C359="",D359=""),"",IF(EXACT(C359,D359),1,0))</f>
        <v/>
      </c>
      <c r="F359" s="9"/>
    </row>
    <row r="360" customFormat="false" ht="15" hidden="false" customHeight="false" outlineLevel="0" collapsed="false">
      <c r="A360" s="9"/>
      <c r="B360" s="9"/>
      <c r="C360" s="9"/>
      <c r="D360" s="9"/>
      <c r="E360" s="14" t="str">
        <f aca="false">IF(OR(C360="",D360=""),"",IF(EXACT(C360,D360),1,0))</f>
        <v/>
      </c>
      <c r="F360" s="9"/>
    </row>
    <row r="361" customFormat="false" ht="15" hidden="false" customHeight="false" outlineLevel="0" collapsed="false">
      <c r="A361" s="9"/>
      <c r="B361" s="9"/>
      <c r="C361" s="9"/>
      <c r="D361" s="9"/>
      <c r="E361" s="14" t="str">
        <f aca="false">IF(OR(C361="",D361=""),"",IF(EXACT(C361,D361),1,0))</f>
        <v/>
      </c>
      <c r="F361" s="9"/>
    </row>
    <row r="362" customFormat="false" ht="15" hidden="false" customHeight="false" outlineLevel="0" collapsed="false">
      <c r="A362" s="9"/>
      <c r="B362" s="9"/>
      <c r="C362" s="9"/>
      <c r="D362" s="9"/>
      <c r="E362" s="14" t="str">
        <f aca="false">IF(OR(C362="",D362=""),"",IF(EXACT(C362,D362),1,0))</f>
        <v/>
      </c>
      <c r="F362" s="9"/>
    </row>
    <row r="363" customFormat="false" ht="15" hidden="false" customHeight="false" outlineLevel="0" collapsed="false">
      <c r="A363" s="9"/>
      <c r="B363" s="9"/>
      <c r="C363" s="9"/>
      <c r="D363" s="9"/>
      <c r="E363" s="14" t="str">
        <f aca="false">IF(OR(C363="",D363=""),"",IF(EXACT(C363,D363),1,0))</f>
        <v/>
      </c>
      <c r="F363" s="9"/>
    </row>
    <row r="364" customFormat="false" ht="15" hidden="false" customHeight="false" outlineLevel="0" collapsed="false">
      <c r="A364" s="9"/>
      <c r="B364" s="9"/>
      <c r="C364" s="9"/>
      <c r="D364" s="9"/>
      <c r="E364" s="14" t="str">
        <f aca="false">IF(OR(C364="",D364=""),"",IF(EXACT(C364,D364),1,0))</f>
        <v/>
      </c>
      <c r="F364" s="9"/>
    </row>
    <row r="365" customFormat="false" ht="15" hidden="false" customHeight="false" outlineLevel="0" collapsed="false">
      <c r="A365" s="9"/>
      <c r="B365" s="9"/>
      <c r="C365" s="9"/>
      <c r="D365" s="9"/>
      <c r="E365" s="14" t="str">
        <f aca="false">IF(OR(C365="",D365=""),"",IF(EXACT(C365,D365),1,0))</f>
        <v/>
      </c>
      <c r="F365" s="9"/>
    </row>
    <row r="366" customFormat="false" ht="15" hidden="false" customHeight="false" outlineLevel="0" collapsed="false">
      <c r="A366" s="9"/>
      <c r="B366" s="9"/>
      <c r="C366" s="9"/>
      <c r="D366" s="9"/>
      <c r="E366" s="14" t="str">
        <f aca="false">IF(OR(C366="",D366=""),"",IF(EXACT(C366,D366),1,0))</f>
        <v/>
      </c>
      <c r="F366" s="9"/>
    </row>
    <row r="367" customFormat="false" ht="15" hidden="false" customHeight="false" outlineLevel="0" collapsed="false">
      <c r="A367" s="9"/>
      <c r="B367" s="9"/>
      <c r="C367" s="9"/>
      <c r="D367" s="9"/>
      <c r="E367" s="14" t="str">
        <f aca="false">IF(OR(C367="",D367=""),"",IF(EXACT(C367,D367),1,0))</f>
        <v/>
      </c>
      <c r="F367" s="9"/>
    </row>
    <row r="368" customFormat="false" ht="15" hidden="false" customHeight="false" outlineLevel="0" collapsed="false">
      <c r="A368" s="9"/>
      <c r="B368" s="9"/>
      <c r="C368" s="9"/>
      <c r="D368" s="9"/>
      <c r="E368" s="14" t="str">
        <f aca="false">IF(OR(C368="",D368=""),"",IF(EXACT(C368,D368),1,0))</f>
        <v/>
      </c>
      <c r="F368" s="9"/>
    </row>
    <row r="369" customFormat="false" ht="15" hidden="false" customHeight="false" outlineLevel="0" collapsed="false">
      <c r="A369" s="9"/>
      <c r="B369" s="9"/>
      <c r="C369" s="9"/>
      <c r="D369" s="9"/>
      <c r="E369" s="14" t="str">
        <f aca="false">IF(OR(C369="",D369=""),"",IF(EXACT(C369,D369),1,0))</f>
        <v/>
      </c>
      <c r="F369" s="9"/>
    </row>
    <row r="370" customFormat="false" ht="15" hidden="false" customHeight="false" outlineLevel="0" collapsed="false">
      <c r="A370" s="9"/>
      <c r="B370" s="9"/>
      <c r="C370" s="9"/>
      <c r="D370" s="9"/>
      <c r="E370" s="14" t="str">
        <f aca="false">IF(OR(C370="",D370=""),"",IF(EXACT(C370,D370),1,0))</f>
        <v/>
      </c>
      <c r="F370" s="9"/>
    </row>
    <row r="371" customFormat="false" ht="15" hidden="false" customHeight="false" outlineLevel="0" collapsed="false">
      <c r="A371" s="9"/>
      <c r="B371" s="9"/>
      <c r="C371" s="9"/>
      <c r="D371" s="9"/>
      <c r="E371" s="14" t="str">
        <f aca="false">IF(OR(C371="",D371=""),"",IF(EXACT(C371,D371),1,0))</f>
        <v/>
      </c>
      <c r="F371" s="9"/>
    </row>
    <row r="372" customFormat="false" ht="15" hidden="false" customHeight="false" outlineLevel="0" collapsed="false">
      <c r="A372" s="9"/>
      <c r="B372" s="9"/>
      <c r="C372" s="9"/>
      <c r="D372" s="9"/>
      <c r="E372" s="14" t="str">
        <f aca="false">IF(OR(C372="",D372=""),"",IF(EXACT(C372,D372),1,0))</f>
        <v/>
      </c>
      <c r="F372" s="9"/>
    </row>
    <row r="373" customFormat="false" ht="15" hidden="false" customHeight="false" outlineLevel="0" collapsed="false">
      <c r="A373" s="9"/>
      <c r="B373" s="9"/>
      <c r="C373" s="9"/>
      <c r="D373" s="9"/>
      <c r="E373" s="14" t="str">
        <f aca="false">IF(OR(C373="",D373=""),"",IF(EXACT(C373,D373),1,0))</f>
        <v/>
      </c>
      <c r="F373" s="9"/>
    </row>
    <row r="374" customFormat="false" ht="15" hidden="false" customHeight="false" outlineLevel="0" collapsed="false">
      <c r="A374" s="9"/>
      <c r="B374" s="9"/>
      <c r="C374" s="9"/>
      <c r="D374" s="9"/>
      <c r="E374" s="14" t="str">
        <f aca="false">IF(OR(C374="",D374=""),"",IF(EXACT(C374,D374),1,0))</f>
        <v/>
      </c>
      <c r="F374" s="9"/>
    </row>
    <row r="375" customFormat="false" ht="15" hidden="false" customHeight="false" outlineLevel="0" collapsed="false">
      <c r="A375" s="9"/>
      <c r="B375" s="9"/>
      <c r="C375" s="9"/>
      <c r="D375" s="9"/>
      <c r="E375" s="14" t="str">
        <f aca="false">IF(OR(C375="",D375=""),"",IF(EXACT(C375,D375),1,0))</f>
        <v/>
      </c>
      <c r="F375" s="9"/>
    </row>
    <row r="376" customFormat="false" ht="15" hidden="false" customHeight="false" outlineLevel="0" collapsed="false">
      <c r="A376" s="9"/>
      <c r="B376" s="9"/>
      <c r="C376" s="9"/>
      <c r="D376" s="9"/>
      <c r="E376" s="14" t="str">
        <f aca="false">IF(OR(C376="",D376=""),"",IF(EXACT(C376,D376),1,0))</f>
        <v/>
      </c>
      <c r="F376" s="9"/>
    </row>
    <row r="377" customFormat="false" ht="15" hidden="false" customHeight="false" outlineLevel="0" collapsed="false">
      <c r="A377" s="9"/>
      <c r="B377" s="9"/>
      <c r="C377" s="9"/>
      <c r="D377" s="9"/>
      <c r="E377" s="14" t="str">
        <f aca="false">IF(OR(C377="",D377=""),"",IF(EXACT(C377,D377),1,0))</f>
        <v/>
      </c>
      <c r="F377" s="9"/>
    </row>
    <row r="378" customFormat="false" ht="15" hidden="false" customHeight="false" outlineLevel="0" collapsed="false">
      <c r="A378" s="9"/>
      <c r="B378" s="9"/>
      <c r="C378" s="9"/>
      <c r="D378" s="9"/>
      <c r="E378" s="14" t="str">
        <f aca="false">IF(OR(C378="",D378=""),"",IF(EXACT(C378,D378),1,0))</f>
        <v/>
      </c>
      <c r="F378" s="9"/>
    </row>
    <row r="379" customFormat="false" ht="15" hidden="false" customHeight="false" outlineLevel="0" collapsed="false">
      <c r="A379" s="9"/>
      <c r="B379" s="9"/>
      <c r="C379" s="9"/>
      <c r="D379" s="9"/>
      <c r="E379" s="14" t="str">
        <f aca="false">IF(OR(C379="",D379=""),"",IF(EXACT(C379,D379),1,0))</f>
        <v/>
      </c>
      <c r="F379" s="9"/>
    </row>
    <row r="380" customFormat="false" ht="15" hidden="false" customHeight="false" outlineLevel="0" collapsed="false">
      <c r="A380" s="9"/>
      <c r="B380" s="9"/>
      <c r="C380" s="9"/>
      <c r="D380" s="9"/>
      <c r="E380" s="14" t="str">
        <f aca="false">IF(OR(C380="",D380=""),"",IF(EXACT(C380,D380),1,0))</f>
        <v/>
      </c>
      <c r="F380" s="9"/>
    </row>
    <row r="381" customFormat="false" ht="15" hidden="false" customHeight="false" outlineLevel="0" collapsed="false">
      <c r="A381" s="9"/>
      <c r="B381" s="9"/>
      <c r="C381" s="9"/>
      <c r="D381" s="9"/>
      <c r="E381" s="14" t="str">
        <f aca="false">IF(OR(C381="",D381=""),"",IF(EXACT(C381,D381),1,0))</f>
        <v/>
      </c>
      <c r="F381" s="9"/>
    </row>
    <row r="382" customFormat="false" ht="15" hidden="false" customHeight="false" outlineLevel="0" collapsed="false">
      <c r="A382" s="9"/>
      <c r="B382" s="9"/>
      <c r="C382" s="9"/>
      <c r="D382" s="9"/>
      <c r="E382" s="14" t="str">
        <f aca="false">IF(OR(C382="",D382=""),"",IF(EXACT(C382,D382),1,0))</f>
        <v/>
      </c>
      <c r="F382" s="9"/>
    </row>
    <row r="383" customFormat="false" ht="15" hidden="false" customHeight="false" outlineLevel="0" collapsed="false">
      <c r="A383" s="9"/>
      <c r="B383" s="9"/>
      <c r="C383" s="9"/>
      <c r="D383" s="9"/>
      <c r="E383" s="14" t="str">
        <f aca="false">IF(OR(C383="",D383=""),"",IF(EXACT(C383,D383),1,0))</f>
        <v/>
      </c>
      <c r="F383" s="9"/>
    </row>
    <row r="384" customFormat="false" ht="15" hidden="false" customHeight="false" outlineLevel="0" collapsed="false">
      <c r="A384" s="9"/>
      <c r="B384" s="9"/>
      <c r="C384" s="9"/>
      <c r="D384" s="9"/>
      <c r="E384" s="14" t="str">
        <f aca="false">IF(OR(C384="",D384=""),"",IF(EXACT(C384,D384),1,0))</f>
        <v/>
      </c>
      <c r="F384" s="9"/>
    </row>
    <row r="385" customFormat="false" ht="15" hidden="false" customHeight="false" outlineLevel="0" collapsed="false">
      <c r="A385" s="9"/>
      <c r="B385" s="9"/>
      <c r="C385" s="9"/>
      <c r="D385" s="9"/>
      <c r="E385" s="14" t="str">
        <f aca="false">IF(OR(C385="",D385=""),"",IF(EXACT(C385,D385),1,0))</f>
        <v/>
      </c>
      <c r="F385" s="9"/>
    </row>
    <row r="386" customFormat="false" ht="15" hidden="false" customHeight="false" outlineLevel="0" collapsed="false">
      <c r="A386" s="9"/>
      <c r="B386" s="9"/>
      <c r="C386" s="9"/>
      <c r="D386" s="9"/>
      <c r="E386" s="14" t="str">
        <f aca="false">IF(OR(C386="",D386=""),"",IF(EXACT(C386,D386),1,0))</f>
        <v/>
      </c>
      <c r="F386" s="9"/>
    </row>
    <row r="387" customFormat="false" ht="15" hidden="false" customHeight="false" outlineLevel="0" collapsed="false">
      <c r="A387" s="9"/>
      <c r="B387" s="9"/>
      <c r="C387" s="9"/>
      <c r="D387" s="9"/>
      <c r="E387" s="14" t="str">
        <f aca="false">IF(OR(C387="",D387=""),"",IF(EXACT(C387,D387),1,0))</f>
        <v/>
      </c>
      <c r="F387" s="9"/>
    </row>
    <row r="388" customFormat="false" ht="15" hidden="false" customHeight="false" outlineLevel="0" collapsed="false">
      <c r="A388" s="9"/>
      <c r="B388" s="9"/>
      <c r="C388" s="9"/>
      <c r="D388" s="9"/>
      <c r="E388" s="14" t="str">
        <f aca="false">IF(OR(C388="",D388=""),"",IF(EXACT(C388,D388),1,0))</f>
        <v/>
      </c>
      <c r="F388" s="9"/>
    </row>
    <row r="389" customFormat="false" ht="15" hidden="false" customHeight="false" outlineLevel="0" collapsed="false">
      <c r="A389" s="9"/>
      <c r="B389" s="9"/>
      <c r="C389" s="9"/>
      <c r="D389" s="9"/>
      <c r="E389" s="14" t="str">
        <f aca="false">IF(OR(C389="",D389=""),"",IF(EXACT(C389,D389),1,0))</f>
        <v/>
      </c>
      <c r="F389" s="9"/>
    </row>
    <row r="390" customFormat="false" ht="15" hidden="false" customHeight="false" outlineLevel="0" collapsed="false">
      <c r="A390" s="9"/>
      <c r="B390" s="9"/>
      <c r="C390" s="9"/>
      <c r="D390" s="9"/>
      <c r="E390" s="14" t="str">
        <f aca="false">IF(OR(C390="",D390=""),"",IF(EXACT(C390,D390),1,0))</f>
        <v/>
      </c>
      <c r="F390" s="9"/>
    </row>
    <row r="391" customFormat="false" ht="15" hidden="false" customHeight="false" outlineLevel="0" collapsed="false">
      <c r="A391" s="9"/>
      <c r="B391" s="9"/>
      <c r="C391" s="9"/>
      <c r="D391" s="9"/>
      <c r="E391" s="14" t="str">
        <f aca="false">IF(OR(C391="",D391=""),"",IF(EXACT(C391,D391),1,0))</f>
        <v/>
      </c>
      <c r="F391" s="9"/>
    </row>
    <row r="392" customFormat="false" ht="15" hidden="false" customHeight="false" outlineLevel="0" collapsed="false">
      <c r="A392" s="9"/>
      <c r="B392" s="9"/>
      <c r="C392" s="9"/>
      <c r="D392" s="9"/>
      <c r="E392" s="14" t="str">
        <f aca="false">IF(OR(C392="",D392=""),"",IF(EXACT(C392,D392),1,0))</f>
        <v/>
      </c>
      <c r="F392" s="9"/>
    </row>
    <row r="393" customFormat="false" ht="15" hidden="false" customHeight="false" outlineLevel="0" collapsed="false">
      <c r="A393" s="9"/>
      <c r="B393" s="9"/>
      <c r="C393" s="9"/>
      <c r="D393" s="9"/>
      <c r="E393" s="14" t="str">
        <f aca="false">IF(OR(C393="",D393=""),"",IF(EXACT(C393,D393),1,0))</f>
        <v/>
      </c>
      <c r="F393" s="9"/>
    </row>
    <row r="394" customFormat="false" ht="15" hidden="false" customHeight="false" outlineLevel="0" collapsed="false">
      <c r="A394" s="9"/>
      <c r="B394" s="9"/>
      <c r="C394" s="9"/>
      <c r="D394" s="9"/>
      <c r="E394" s="14" t="str">
        <f aca="false">IF(OR(C394="",D394=""),"",IF(EXACT(C394,D394),1,0))</f>
        <v/>
      </c>
      <c r="F394" s="9"/>
    </row>
    <row r="395" customFormat="false" ht="15" hidden="false" customHeight="false" outlineLevel="0" collapsed="false">
      <c r="A395" s="9"/>
      <c r="B395" s="9"/>
      <c r="C395" s="9"/>
      <c r="D395" s="9"/>
      <c r="E395" s="14" t="str">
        <f aca="false">IF(OR(C395="",D395=""),"",IF(EXACT(C395,D395),1,0))</f>
        <v/>
      </c>
      <c r="F395" s="9"/>
    </row>
    <row r="396" customFormat="false" ht="15" hidden="false" customHeight="false" outlineLevel="0" collapsed="false">
      <c r="A396" s="9"/>
      <c r="B396" s="9"/>
      <c r="C396" s="9"/>
      <c r="D396" s="9"/>
      <c r="E396" s="14" t="str">
        <f aca="false">IF(OR(C396="",D396=""),"",IF(EXACT(C396,D396),1,0))</f>
        <v/>
      </c>
      <c r="F396" s="9"/>
    </row>
    <row r="397" customFormat="false" ht="15" hidden="false" customHeight="false" outlineLevel="0" collapsed="false">
      <c r="A397" s="9"/>
      <c r="B397" s="9"/>
      <c r="C397" s="9"/>
      <c r="D397" s="9"/>
      <c r="E397" s="14" t="str">
        <f aca="false">IF(OR(C397="",D397=""),"",IF(EXACT(C397,D397),1,0))</f>
        <v/>
      </c>
      <c r="F397" s="9"/>
    </row>
    <row r="398" customFormat="false" ht="15" hidden="false" customHeight="false" outlineLevel="0" collapsed="false">
      <c r="A398" s="9"/>
      <c r="B398" s="9"/>
      <c r="C398" s="9"/>
      <c r="D398" s="9"/>
      <c r="E398" s="14" t="str">
        <f aca="false">IF(OR(C398="",D398=""),"",IF(EXACT(C398,D398),1,0))</f>
        <v/>
      </c>
      <c r="F398" s="9"/>
    </row>
    <row r="399" customFormat="false" ht="15" hidden="false" customHeight="false" outlineLevel="0" collapsed="false">
      <c r="A399" s="9"/>
      <c r="B399" s="9"/>
      <c r="C399" s="9"/>
      <c r="D399" s="9"/>
      <c r="E399" s="14" t="str">
        <f aca="false">IF(OR(C399="",D399=""),"",IF(EXACT(C399,D399),1,0))</f>
        <v/>
      </c>
      <c r="F399" s="9"/>
    </row>
    <row r="400" customFormat="false" ht="15" hidden="false" customHeight="false" outlineLevel="0" collapsed="false">
      <c r="A400" s="9"/>
      <c r="B400" s="9"/>
      <c r="C400" s="9"/>
      <c r="D400" s="9"/>
      <c r="E400" s="14" t="str">
        <f aca="false">IF(OR(C400="",D400=""),"",IF(EXACT(C400,D400),1,0))</f>
        <v/>
      </c>
      <c r="F400" s="9"/>
    </row>
    <row r="401" customFormat="false" ht="15" hidden="false" customHeight="false" outlineLevel="0" collapsed="false">
      <c r="A401" s="9"/>
      <c r="B401" s="9"/>
      <c r="C401" s="9"/>
      <c r="D401" s="9"/>
      <c r="E401" s="14" t="str">
        <f aca="false">IF(OR(C401="",D401=""),"",IF(EXACT(C401,D401),1,0))</f>
        <v/>
      </c>
      <c r="F401" s="9"/>
    </row>
    <row r="404" customFormat="false" ht="15" hidden="false" customHeight="false" outlineLevel="0" collapsed="false">
      <c r="A404" s="23" t="s">
        <v>256</v>
      </c>
    </row>
    <row r="405" customFormat="false" ht="15" hidden="false" customHeight="false" outlineLevel="0" collapsed="false">
      <c r="A405" s="10" t="s">
        <v>257</v>
      </c>
    </row>
    <row r="406" customFormat="false" ht="15" hidden="false" customHeight="false" outlineLevel="0" collapsed="false">
      <c r="A406" s="5" t="s">
        <v>258</v>
      </c>
      <c r="B406" s="5" t="n">
        <f aca="false">COUNT(E2:E401)</f>
        <v>0</v>
      </c>
    </row>
    <row r="407" customFormat="false" ht="15" hidden="false" customHeight="false" outlineLevel="0" collapsed="false">
      <c r="A407" s="5" t="s">
        <v>259</v>
      </c>
      <c r="B407" s="5" t="n">
        <f aca="false">SUM(E2:E401)</f>
        <v>0</v>
      </c>
    </row>
    <row r="408" customFormat="false" ht="15" hidden="false" customHeight="false" outlineLevel="0" collapsed="false">
      <c r="A408" s="5" t="s">
        <v>260</v>
      </c>
      <c r="B408" s="25" t="str">
        <f aca="false">IFERROR(B407/B406,"")</f>
        <v/>
      </c>
    </row>
    <row r="409" customFormat="false" ht="15" hidden="false" customHeight="false" outlineLevel="0" collapsed="false">
      <c r="A409" s="5"/>
    </row>
    <row r="410" customFormat="false" ht="15" hidden="false" customHeight="false" outlineLevel="0" collapsed="false">
      <c r="A410" s="1" t="s">
        <v>261</v>
      </c>
    </row>
    <row r="411" customFormat="false" ht="15" hidden="false" customHeight="false" outlineLevel="0" collapsed="false">
      <c r="A411" s="5" t="s">
        <v>262</v>
      </c>
      <c r="B411" s="5" t="n">
        <f aca="false">COUNTIF(C2:C401,"Low")</f>
        <v>0</v>
      </c>
    </row>
    <row r="412" customFormat="false" ht="15" hidden="false" customHeight="false" outlineLevel="0" collapsed="false">
      <c r="A412" s="5" t="s">
        <v>263</v>
      </c>
      <c r="B412" s="5" t="n">
        <f aca="false">COUNTIF(D2:D401,"Low")</f>
        <v>0</v>
      </c>
    </row>
    <row r="413" customFormat="false" ht="15" hidden="false" customHeight="false" outlineLevel="0" collapsed="false">
      <c r="A413" s="5" t="s">
        <v>264</v>
      </c>
      <c r="B413" s="5" t="n">
        <f aca="false">COUNTIF(C2:C401,"High")</f>
        <v>0</v>
      </c>
    </row>
    <row r="414" customFormat="false" ht="15" hidden="false" customHeight="false" outlineLevel="0" collapsed="false">
      <c r="A414" s="5" t="s">
        <v>265</v>
      </c>
      <c r="B414" s="5" t="n">
        <f aca="false">COUNTIF(D2:D401,"High")</f>
        <v>0</v>
      </c>
    </row>
    <row r="415" customFormat="false" ht="15" hidden="false" customHeight="false" outlineLevel="0" collapsed="false">
      <c r="A415" s="5" t="s">
        <v>266</v>
      </c>
      <c r="B415" s="25" t="str">
        <f aca="false">IFERROR((B411*B412+B413*B414)/(B406^2),"")</f>
        <v/>
      </c>
    </row>
    <row r="416" customFormat="false" ht="15" hidden="false" customHeight="false" outlineLevel="0" collapsed="false">
      <c r="A416" s="5"/>
    </row>
    <row r="417" customFormat="false" ht="15" hidden="false" customHeight="false" outlineLevel="0" collapsed="false">
      <c r="A417" s="1" t="s">
        <v>267</v>
      </c>
      <c r="B417" s="25" t="str">
        <f aca="false">IFERROR((B408-B415)/(1-B415),"")</f>
        <v/>
      </c>
    </row>
    <row r="418" customFormat="false" ht="15" hidden="false" customHeight="false" outlineLevel="0" collapsed="false">
      <c r="A418" s="5" t="s">
        <v>268</v>
      </c>
      <c r="B418" s="5" t="str">
        <f aca="false">IF(B417="","",IF(B417&lt;0.2,"Slight",IF(B417&lt;0.4,"Fair",IF(B417&lt;0.6,"Moderate",IF(B417&lt;0.8,"Substantial","Almost perfect")))))</f>
        <v/>
      </c>
    </row>
    <row r="421" customFormat="false" ht="147.75" hidden="false" customHeight="false" outlineLevel="0" collapsed="false">
      <c r="A421" s="8"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2"/>
  </cols>
  <sheetData>
    <row r="1" customFormat="false" ht="33.75" hidden="false" customHeight="true" outlineLevel="0" collapsed="false">
      <c r="A1" s="7" t="s">
        <v>270</v>
      </c>
      <c r="B1" s="7" t="s">
        <v>271</v>
      </c>
    </row>
    <row r="2" customFormat="false" ht="30" hidden="false" customHeight="true" outlineLevel="0" collapsed="false">
      <c r="A2" s="18" t="s">
        <v>35</v>
      </c>
      <c r="B2" s="15" t="s">
        <v>272</v>
      </c>
    </row>
    <row r="3" customFormat="false" ht="30" hidden="false" customHeight="true" outlineLevel="0" collapsed="false">
      <c r="A3" s="18" t="s">
        <v>41</v>
      </c>
      <c r="B3" s="15" t="s">
        <v>273</v>
      </c>
    </row>
    <row r="4" customFormat="false" ht="30" hidden="false" customHeight="true" outlineLevel="0" collapsed="false">
      <c r="A4" s="18" t="s">
        <v>46</v>
      </c>
      <c r="B4" s="15" t="s">
        <v>274</v>
      </c>
    </row>
    <row r="5" customFormat="false" ht="30" hidden="false" customHeight="true" outlineLevel="0" collapsed="false">
      <c r="A5" s="18" t="s">
        <v>275</v>
      </c>
      <c r="B5" s="15" t="s">
        <v>276</v>
      </c>
    </row>
    <row r="6" customFormat="false" ht="30" hidden="false" customHeight="true" outlineLevel="0" collapsed="false">
      <c r="A6" s="18" t="s">
        <v>49</v>
      </c>
      <c r="B6" s="15" t="s">
        <v>277</v>
      </c>
    </row>
    <row r="7" customFormat="false" ht="30" hidden="false" customHeight="true" outlineLevel="0" collapsed="false">
      <c r="A7" s="18" t="s">
        <v>50</v>
      </c>
      <c r="B7" s="15" t="s">
        <v>278</v>
      </c>
    </row>
    <row r="8" customFormat="false" ht="45" hidden="false" customHeight="true" outlineLevel="0" collapsed="false">
      <c r="A8" s="18" t="s">
        <v>53</v>
      </c>
      <c r="B8" s="15" t="s">
        <v>279</v>
      </c>
    </row>
    <row r="9" customFormat="false" ht="45" hidden="false" customHeight="true" outlineLevel="0" collapsed="false">
      <c r="A9" s="18" t="s">
        <v>280</v>
      </c>
      <c r="B9" s="15" t="s">
        <v>281</v>
      </c>
    </row>
    <row r="10" customFormat="false" ht="30" hidden="false" customHeight="true" outlineLevel="0" collapsed="false">
      <c r="A10" s="18" t="s">
        <v>282</v>
      </c>
      <c r="B10" s="15" t="s">
        <v>283</v>
      </c>
    </row>
    <row r="11" customFormat="false" ht="30" hidden="false" customHeight="true" outlineLevel="0" collapsed="false">
      <c r="A11" s="18" t="s">
        <v>244</v>
      </c>
      <c r="B11" s="15" t="s">
        <v>284</v>
      </c>
    </row>
    <row r="12" customFormat="false" ht="30" hidden="false" customHeight="true" outlineLevel="0" collapsed="false">
      <c r="A12" s="18" t="s">
        <v>285</v>
      </c>
      <c r="B12" s="15" t="s">
        <v>286</v>
      </c>
    </row>
    <row r="13" customFormat="false" ht="30" hidden="false" customHeight="true" outlineLevel="0" collapsed="false">
      <c r="A13" s="18" t="s">
        <v>225</v>
      </c>
      <c r="B13" s="15" t="s">
        <v>287</v>
      </c>
    </row>
    <row r="14" customFormat="false" ht="30" hidden="false" customHeight="true" outlineLevel="0" collapsed="false">
      <c r="A14" s="18" t="s">
        <v>226</v>
      </c>
      <c r="B14" s="15" t="s">
        <v>288</v>
      </c>
    </row>
    <row r="15" customFormat="false" ht="30" hidden="false" customHeight="true" outlineLevel="0" collapsed="false">
      <c r="A15" s="18" t="s">
        <v>246</v>
      </c>
      <c r="B15" s="15" t="s">
        <v>289</v>
      </c>
    </row>
    <row r="16" customFormat="false" ht="60" hidden="false" customHeight="true" outlineLevel="0" collapsed="false">
      <c r="A16" s="18" t="s">
        <v>290</v>
      </c>
      <c r="B16" s="15" t="s">
        <v>291</v>
      </c>
    </row>
    <row r="17" customFormat="false" ht="30" hidden="false" customHeight="true" outlineLevel="0" collapsed="false">
      <c r="A17" s="18" t="s">
        <v>292</v>
      </c>
      <c r="B17" s="15" t="s">
        <v>293</v>
      </c>
    </row>
    <row r="18" customFormat="false" ht="30" hidden="false" customHeight="true" outlineLevel="0" collapsed="false">
      <c r="A18" s="18" t="s">
        <v>294</v>
      </c>
      <c r="B18" s="15" t="s">
        <v>295</v>
      </c>
    </row>
    <row r="19" customFormat="false" ht="30" hidden="false" customHeight="true" outlineLevel="0" collapsed="false">
      <c r="A19" s="18" t="s">
        <v>296</v>
      </c>
      <c r="B19" s="15" t="s">
        <v>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2026-09-05T16:30:06Z</dcterms:created>
  <dc:creator>openpyxl</dc:creator>
  <dc:description/>
  <dc:language>en-US</dc:language>
  <cp:lastModifiedBy/>
  <dcterms:modified xsi:type="dcterms:W3CDTF">2026-09-05T16:30:06Z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